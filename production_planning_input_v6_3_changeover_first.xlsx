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88d1d2c99a84bac" /></Relationships>
</file>

<file path=xl/workbook.xml><?xml version="1.0" encoding="utf-8"?>
<x:workbook xmlns:x="http://schemas.openxmlformats.org/spreadsheetml/2006/main">
  <x:sheets>
    <x:sheet xmlns:r="http://schemas.openxmlformats.org/officeDocument/2006/relationships" name="products" sheetId="1" r:id="Rffe6747fcc60401c"/>
    <x:sheet xmlns:r="http://schemas.openxmlformats.org/officeDocument/2006/relationships" name="machines" sheetId="2" r:id="R5d8767e03a09473e"/>
    <x:sheet xmlns:r="http://schemas.openxmlformats.org/officeDocument/2006/relationships" name="machine_product" sheetId="3" r:id="R0309e389a69d4932"/>
    <x:sheet xmlns:r="http://schemas.openxmlformats.org/officeDocument/2006/relationships" name="targets" sheetId="4" r:id="Rbd7b49ca07ab4ab2"/>
    <x:sheet xmlns:r="http://schemas.openxmlformats.org/officeDocument/2006/relationships" name="calendar" sheetId="5" r:id="R6000e88c5ed747e5"/>
    <x:sheet xmlns:r="http://schemas.openxmlformats.org/officeDocument/2006/relationships" name="sequence_rules" sheetId="6" r:id="Rf61c3c95509140a2"/>
    <x:sheet xmlns:r="http://schemas.openxmlformats.org/officeDocument/2006/relationships" name="changeover_rules" sheetId="7" r:id="R26c8146faed94ac7"/>
    <x:sheet xmlns:r="http://schemas.openxmlformats.org/officeDocument/2006/relationships" name="allocation_rules" sheetId="8" r:id="R8c50449ab4074aa3"/>
    <x:sheet xmlns:r="http://schemas.openxmlformats.org/officeDocument/2006/relationships" name="initial_state" sheetId="9" r:id="R9c6abf4b9055448d"/>
    <x:sheet xmlns:r="http://schemas.openxmlformats.org/officeDocument/2006/relationships" name="objectives" sheetId="10" r:id="R6f39ac58bcf942b3"/>
    <x:sheet xmlns:r="http://schemas.openxmlformats.org/officeDocument/2006/relationships" name="settings" sheetId="11" r:id="R207839ae1cd74718"/>
  </x:sheets>
  <x:definedNames>
    <x:definedName name="Machine_IDs">tblMachines[Machine_ID]</x:definedName>
    <x:definedName name="Objective_IDs">#REF!</x:definedName>
    <x:definedName name="Product_IDs">tblProducts[Product_ID]</x:definedName>
  </x:definedName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0.000"/>
  </x:numFmts>
  <x:fonts count="14">
    <x:font>
      <x:sz val="11"/>
      <x:color theme="1"/>
      <x:name val="Calibri"/>
      <x:family val="2"/>
      <x:scheme val="minor"/>
    </x:font>
    <x:font>
      <x:b/>
      <x:sz val="11"/>
      <x:color rgb="FFFFFFFF"/>
      <x:name val="Calibri"/>
      <x:family val="2"/>
    </x:font>
    <x:font>
      <x:sz val="11"/>
      <x:color rgb="FF0000FF"/>
      <x:name val="Calibri"/>
      <x:family val="2"/>
    </x:font>
    <x:font>
      <x:sz val="11"/>
      <x:color rgb="FF666666"/>
      <x:name val="Calibri"/>
      <x:family val="2"/>
    </x:font>
    <x:font>
      <x:b/>
      <x:sz val="11"/>
      <x:color rgb="FFFFFFFF"/>
      <x:name val="Calibri"/>
      <x:family val="2"/>
    </x:font>
    <x:font>
      <x:sz val="10"/>
      <x:color rgb="FF0000FF"/>
      <x:name val="Calibri"/>
    </x:font>
    <x:font>
      <x:b/>
      <x:color rgb="FF7030A0"/>
    </x:font>
    <x:font>
      <x:color rgb="FF0000FF"/>
    </x:font>
    <x:font>
      <x:b/>
      <x:color rgb="FF0000FF"/>
      <x:name val="Calibri"/>
    </x:font>
    <x:font>
      <x:b/>
      <x:sz val="10"/>
      <x:color rgb="FF000000"/>
      <x:name val="Calibri"/>
      <x:family val="2"/>
    </x:font>
    <x:font>
      <x:sz val="10"/>
      <x:color rgb="FF000000"/>
      <x:name val="Calibri"/>
      <x:family val="2"/>
    </x:font>
    <x:font>
      <x:sz val="10"/>
      <x:color rgb="FF000000"/>
      <x:name val="Calibri"/>
    </x:font>
    <x:font>
      <x:sz val="10"/>
      <x:color rgb="FF000000"/>
      <x:name val="Calibri"/>
      <x:family val="2"/>
      <x:scheme val="minor"/>
    </x:font>
    <x:font>
      <x:b/>
      <x:sz val="10"/>
      <x:color rgb="FF000000"/>
      <x:name val="Calibri"/>
    </x:font>
  </x:fonts>
  <x:fills count="6">
    <x:fill>
      <x:patternFill patternType="none"/>
    </x:fill>
    <x:fill>
      <x:patternFill patternType="gray125"/>
    </x:fill>
    <x:fill>
      <x:patternFill patternType="solid">
        <x:fgColor rgb="FF17365D"/>
      </x:patternFill>
    </x:fill>
    <x:fill>
      <x:patternFill patternType="solid">
        <x:fgColor rgb="FFE7E6E6"/>
      </x:patternFill>
    </x:fill>
    <x:fill>
      <x:patternFill patternType="solid">
        <x:fgColor rgb="FF1F4E78"/>
      </x:patternFill>
    </x:fill>
    <x:fill>
      <x:patternFill patternType="solid">
        <x:fgColor rgb="FFFFF3CC"/>
      </x:patternFill>
    </x:fill>
  </x:fills>
  <x:borders count="2">
    <x:border>
      <x:left/>
      <x:right/>
      <x:top/>
      <x:bottom/>
      <x:diagonal/>
    </x:border>
    <x:border>
      <x:left style="thin">
        <x:color rgb="FF000000"/>
      </x:left>
      <x:right style="thin">
        <x:color rgb="FF000000"/>
      </x:right>
      <x:top style="thin">
        <x:color rgb="FF000000"/>
      </x:top>
      <x:bottom style="thin">
        <x:color rgb="FF000000"/>
      </x:bottom>
    </x:border>
  </x:borders>
  <x:cellStyleXfs count="1">
    <x:xf numFmtId="0" fontId="0" fillId="0" borderId="0"/>
  </x:cellStyleXfs>
  <x:cellXfs count="34">
    <x:xf numFmtId="0" fontId="0" fillId="0" borderId="0" xfId="0"/>
    <x:xf numFmtId="0" fontId="1" fillId="2" borderId="0" xfId="0" applyAlignment="1">
      <x:alignment horizontal="center" vertical="center" wrapText="1"/>
    </x:xf>
    <x:xf numFmtId="0" fontId="3" fillId="3" borderId="0" xfId="0" applyAlignment="1">
      <x:alignment vertical="center" wrapText="1"/>
    </x:xf>
    <x:xf numFmtId="0" fontId="2" fillId="0" borderId="0" xfId="0" applyAlignment="1">
      <x:alignment vertical="center" wrapText="1"/>
    </x:xf>
    <x:xf numFmtId="2" fontId="2" fillId="0" borderId="0" xfId="0" applyAlignment="1">
      <x:alignment vertical="center" wrapText="1"/>
    </x:xf>
    <x:xf numFmtId="0" fontId="4" fillId="4" borderId="0" xfId="0" applyAlignment="1">
      <x:alignment horizontal="center" vertical="center" wrapText="1"/>
    </x:xf>
    <x:xf numFmtId="0" fontId="0" fillId="0" borderId="0" xfId="0" applyAlignment="1">
      <x:alignment vertical="top" wrapText="1"/>
    </x:xf>
    <x:xf numFmtId="0" fontId="1" fillId="2" borderId="0" xfId="0" applyAlignment="1">
      <x:alignment vertical="top" wrapText="1"/>
    </x:xf>
    <x:xf numFmtId="0" fontId="2" fillId="0" borderId="0" xfId="0" applyAlignment="1">
      <x:alignment vertical="top" wrapText="1"/>
    </x:xf>
    <x:xf numFmtId="164" fontId="2" fillId="0" borderId="0" xfId="0" applyAlignment="1">
      <x:alignment vertical="center" wrapText="1"/>
    </x:xf>
    <x:xf numFmtId="164" fontId="0" fillId="0" borderId="0" xfId="0"/>
    <x:xf numFmtId="0" fontId="5" fillId="0" borderId="0" xfId="0" applyAlignment="1">
      <x:alignment vertical="center" wrapText="1"/>
    </x:xf>
    <x:xf numFmtId="0" fontId="6" fillId="0" borderId="0" xfId="0" applyAlignment="1">
      <x:alignment vertical="center" wrapText="1"/>
    </x:xf>
    <x:xf numFmtId="0" fontId="7" fillId="0" borderId="0" xfId="0" applyAlignment="1">
      <x:alignment vertical="center" wrapText="1"/>
    </x:xf>
    <x:xf numFmtId="0" fontId="5" fillId="0" borderId="0" xfId="0" applyAlignment="1">
      <x:alignment vertical="top" wrapText="1"/>
    </x:xf>
    <x:xf numFmtId="0" fontId="5" fillId="0" borderId="0" xfId="0"/>
    <x:xf numFmtId="0" fontId="8" fillId="5" borderId="0" xfId="0"/>
    <x:xf numFmtId="0" fontId="9" fillId="0" borderId="1" xfId="0" applyAlignment="1">
      <x:alignment horizontal="left" vertical="center" wrapText="1"/>
    </x:xf>
    <x:xf numFmtId="0" fontId="10" fillId="0" borderId="1" xfId="0" applyAlignment="1">
      <x:alignment horizontal="left" vertical="center"/>
    </x:xf>
    <x:xf numFmtId="0" fontId="10" fillId="0" borderId="1" xfId="0" applyAlignment="1">
      <x:alignment horizontal="right" vertical="center"/>
    </x:xf>
    <x:xf numFmtId="2" fontId="10" fillId="0" borderId="1" xfId="0" applyAlignment="1">
      <x:alignment horizontal="right" vertical="center"/>
    </x:xf>
    <x:xf numFmtId="0" fontId="11" fillId="0" borderId="1" xfId="0" applyAlignment="1">
      <x:alignment horizontal="right" vertical="center"/>
    </x:xf>
    <x:xf numFmtId="164" fontId="10" fillId="0" borderId="1" xfId="0" applyAlignment="1">
      <x:alignment horizontal="right" vertical="center"/>
    </x:xf>
    <x:xf numFmtId="164" fontId="12" fillId="0" borderId="1" xfId="0" applyAlignment="1">
      <x:alignment horizontal="right" vertical="center"/>
    </x:xf>
    <x:xf numFmtId="0" fontId="12" fillId="0" borderId="1" xfId="0" applyAlignment="1">
      <x:alignment horizontal="right" vertical="center"/>
    </x:xf>
    <x:xf numFmtId="0" fontId="12" fillId="0" borderId="1" xfId="0" applyAlignment="1">
      <x:alignment horizontal="left" vertical="center"/>
    </x:xf>
    <x:xf numFmtId="0" fontId="10" fillId="0" borderId="1" xfId="0" applyAlignment="1">
      <x:alignment horizontal="left" vertical="center" wrapText="1"/>
    </x:xf>
    <x:xf numFmtId="0" fontId="12" fillId="0" borderId="1" xfId="0" applyAlignment="1">
      <x:alignment horizontal="left" vertical="center" wrapText="1"/>
    </x:xf>
    <x:xf numFmtId="0" fontId="11" fillId="0" borderId="1" xfId="0" applyAlignment="1">
      <x:alignment horizontal="left" vertical="center"/>
    </x:xf>
    <x:xf numFmtId="0" fontId="13" fillId="0" borderId="1" xfId="0"/>
    <x:xf numFmtId="9" fontId="11" fillId="0" borderId="1" xfId="0" applyAlignment="1">
      <x:alignment horizontal="center"/>
    </x:xf>
    <x:xf numFmtId="164" fontId="11" fillId="0" borderId="1" xfId="0" applyAlignment="1">
      <x:alignment horizontal="right"/>
    </x:xf>
    <x:xf numFmtId="0" fontId="10" fillId="0" borderId="1" xfId="0" applyNumberFormat="1" applyFont="1" applyFill="1" applyBorder="1" applyAlignment="1">
      <x:alignment horizontal="left" vertical="center" wrapText="1"/>
    </x:xf>
    <x:xf numFmtId="0" fontId="12" fillId="0" borderId="1" xfId="0" applyNumberFormat="1" applyFont="1" applyFill="1" applyBorder="1" applyAlignment="1">
      <x:alignment horizontal="left" vertical="center" wrapText="1"/>
    </x:xf>
  </x:cellXfs>
  <x:cellStyles count="1">
    <x:cellStyle name="Normal" xfId="0"/>
  </x:cellStyles>
  <x:dxfs count="8">
    <x:dxf>
      <x:fill>
        <x:patternFill>
          <x:bgColor rgb="FFFFF2CC"/>
        </x:patternFill>
      </x:fill>
    </x:dxf>
    <x:dxf>
      <x:fill>
        <x:patternFill>
          <x:bgColor rgb="FFFFF2CC"/>
        </x:patternFill>
      </x:fill>
    </x:dxf>
    <x:dxf>
      <x:fill>
        <x:patternFill>
          <x:bgColor rgb="FFFFF2CC"/>
        </x:patternFill>
      </x:fill>
    </x:dxf>
    <x:dxf>
      <x:fill>
        <x:patternFill>
          <x:bgColor rgb="FFFFF2CC"/>
        </x:patternFill>
      </x:fill>
    </x:dxf>
    <x:dxf>
      <x:fill>
        <x:patternFill>
          <x:bgColor rgb="FFFFF2CC"/>
        </x:patternFill>
      </x:fill>
    </x:dxf>
    <x:dxf>
      <x:fill>
        <x:patternFill>
          <x:bgColor rgb="FFFFF2CC"/>
        </x:patternFill>
      </x:fill>
    </x:dxf>
    <x:dxf>
      <x:fill>
        <x:patternFill>
          <x:bgColor rgb="FFFFF2CC"/>
        </x:patternFill>
      </x:fill>
    </x:dxf>
    <x:dxf>
      <x:fill>
        <x:patternFill>
          <x:bgColor rgb="FFFFF2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6d596b2c6ca4634" /><Relationship Type="http://schemas.openxmlformats.org/officeDocument/2006/relationships/theme" Target="/xl/theme/theme1.xml" Id="R54f8259b10db4f15" /><Relationship Type="http://schemas.openxmlformats.org/officeDocument/2006/relationships/sharedStrings" Target="/xl/sharedStrings.xml" Id="Rd8f762361448433a" /><Relationship Type="http://schemas.openxmlformats.org/officeDocument/2006/relationships/worksheet" Target="/xl/worksheets/sheet1.xml" Id="Rffe6747fcc60401c" /><Relationship Type="http://schemas.openxmlformats.org/officeDocument/2006/relationships/worksheet" Target="/xl/worksheets/sheet2.xml" Id="R5d8767e03a09473e" /><Relationship Type="http://schemas.openxmlformats.org/officeDocument/2006/relationships/worksheet" Target="/xl/worksheets/sheet3.xml" Id="R0309e389a69d4932" /><Relationship Type="http://schemas.openxmlformats.org/officeDocument/2006/relationships/worksheet" Target="/xl/worksheets/sheet4.xml" Id="Rbd7b49ca07ab4ab2" /><Relationship Type="http://schemas.openxmlformats.org/officeDocument/2006/relationships/worksheet" Target="/xl/worksheets/sheet5.xml" Id="R6000e88c5ed747e5" /><Relationship Type="http://schemas.openxmlformats.org/officeDocument/2006/relationships/worksheet" Target="/xl/worksheets/sheet6.xml" Id="Rf61c3c95509140a2" /><Relationship Type="http://schemas.openxmlformats.org/officeDocument/2006/relationships/worksheet" Target="/xl/worksheets/sheet7.xml" Id="R26c8146faed94ac7" /><Relationship Type="http://schemas.openxmlformats.org/officeDocument/2006/relationships/worksheet" Target="/xl/worksheets/sheet8.xml" Id="R8c50449ab4074aa3" /><Relationship Type="http://schemas.openxmlformats.org/officeDocument/2006/relationships/worksheet" Target="/xl/worksheets/sheet9.xml" Id="R9c6abf4b9055448d" /><Relationship Type="http://schemas.openxmlformats.org/officeDocument/2006/relationships/worksheet" Target="/xl/worksheets/sheet10.xml" Id="R6f39ac58bcf942b3" /><Relationship Type="http://schemas.openxmlformats.org/officeDocument/2006/relationships/worksheet" Target="/xl/worksheets/sheet11.xml" Id="R207839ae1cd747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4.5"/>
  <x:cols>
    <x:col min="1" max="1" width="13" customWidth="1"/>
    <x:col min="2" max="2" width="31" customWidth="1"/>
    <x:col min="3" max="3" width="20" customWidth="1"/>
    <x:col min="4" max="5" width="16" customWidth="1"/>
    <x:col min="5" max="5" width="17" customWidth="1"/>
    <x:col min="6" max="6" width="11" customWidth="1"/>
  </x:cols>
  <x:sheetData>
    <x:row r="1" ht="29" customHeight="1">
      <x:c r="A1" s="17" t="inlineStr">
        <x:is>
          <x:t xml:space="preserve">Product_ID</x:t>
        </x:is>
      </x:c>
      <x:c r="B1" s="17" t="inlineStr">
        <x:is>
          <x:t xml:space="preserve">Product</x:t>
        </x:is>
      </x:c>
      <x:c r="C1" s="17" t="inlineStr">
        <x:is>
          <x:t xml:space="preserve">Family</x:t>
        </x:is>
      </x:c>
      <x:c r="D1" s="17" t="inlineStr">
        <x:is>
          <x:t xml:space="preserve">Salt_Status</x:t>
        </x:is>
      </x:c>
      <x:c r="E1" s="17" t="inlineStr">
        <x:is>
          <x:t xml:space="preserve">Sequence_Order</x:t>
        </x:is>
      </x:c>
      <x:c r="F1" s="17" t="inlineStr">
        <x:is>
          <x:t xml:space="preserve">Priority</x:t>
        </x:is>
      </x:c>
    </x:row>
    <x:row r="2" ht="23" customHeight="1">
      <x:c r="A2" s="18" t="inlineStr">
        <x:is>
          <x:t xml:space="preserve">P001</x:t>
        </x:is>
      </x:c>
      <x:c r="B2" s="18" t="inlineStr">
        <x:is>
          <x:t xml:space="preserve">Ayçekirdeği tuzsuz</x:t>
        </x:is>
      </x:c>
      <x:c r="C2" s="18" t="inlineStr">
        <x:is>
          <x:t xml:space="preserve">Ayçekirdeği</x:t>
        </x:is>
      </x:c>
      <x:c r="D2" s="18" t="inlineStr">
        <x:is>
          <x:t xml:space="preserve">UNSALTED</x:t>
        </x:is>
      </x:c>
      <x:c r="E2" s="19" t="n">
        <x:v>1</x:v>
      </x:c>
      <x:c r="F2" s="19" t="n">
        <x:v>1</x:v>
      </x:c>
    </x:row>
    <x:row r="3" ht="23" customHeight="1">
      <x:c r="A3" s="18" t="inlineStr">
        <x:is>
          <x:t xml:space="preserve">P002</x:t>
        </x:is>
      </x:c>
      <x:c r="B3" s="18" t="inlineStr">
        <x:is>
          <x:t xml:space="preserve">Ayçekirdeği tuzlu</x:t>
        </x:is>
      </x:c>
      <x:c r="C3" s="18" t="inlineStr">
        <x:is>
          <x:t xml:space="preserve">Ayçekirdeği</x:t>
        </x:is>
      </x:c>
      <x:c r="D3" s="18" t="inlineStr">
        <x:is>
          <x:t xml:space="preserve">SALTED</x:t>
        </x:is>
      </x:c>
      <x:c r="E3" s="19" t="n">
        <x:v>2</x:v>
      </x:c>
      <x:c r="F3" s="19" t="n">
        <x:v>1</x:v>
      </x:c>
    </x:row>
    <x:row r="4" ht="23" customHeight="1">
      <x:c r="A4" s="18" t="inlineStr">
        <x:is>
          <x:t xml:space="preserve">P003</x:t>
        </x:is>
      </x:c>
      <x:c r="B4" s="18" t="inlineStr">
        <x:is>
          <x:t xml:space="preserve">Kabak Nevşehir (salamura)</x:t>
        </x:is>
      </x:c>
      <x:c r="C4" s="18" t="inlineStr">
        <x:is>
          <x:t xml:space="preserve">Kabak</x:t>
        </x:is>
      </x:c>
      <x:c r="D4" s="18" t="inlineStr">
        <x:is>
          <x:t xml:space="preserve">SALTED</x:t>
        </x:is>
      </x:c>
      <x:c r="E4" s="19" t="n">
        <x:v>2</x:v>
      </x:c>
      <x:c r="F4" s="19" t="n">
        <x:v>1</x:v>
      </x:c>
    </x:row>
    <x:row r="5" ht="23" customHeight="1">
      <x:c r="A5" s="18" t="inlineStr">
        <x:is>
          <x:t xml:space="preserve">P004</x:t>
        </x:is>
      </x:c>
      <x:c r="B5" s="18" t="inlineStr">
        <x:is>
          <x:t xml:space="preserve">Kabak Kav. Tuzsuz</x:t>
        </x:is>
      </x:c>
      <x:c r="C5" s="18" t="inlineStr">
        <x:is>
          <x:t xml:space="preserve">Kabak</x:t>
        </x:is>
      </x:c>
      <x:c r="D5" s="18" t="inlineStr">
        <x:is>
          <x:t xml:space="preserve">UNSALTED</x:t>
        </x:is>
      </x:c>
      <x:c r="E5" s="19" t="n">
        <x:v>1</x:v>
      </x:c>
      <x:c r="F5" s="19" t="n">
        <x:v>1</x:v>
      </x:c>
    </x:row>
    <x:row r="6" ht="23" customHeight="1">
      <x:c r="A6" s="18" t="inlineStr">
        <x:is>
          <x:t xml:space="preserve">P005</x:t>
        </x:is>
      </x:c>
      <x:c r="B6" s="18" t="inlineStr">
        <x:is>
          <x:t xml:space="preserve">Kabak Çifte Kav.</x:t>
        </x:is>
      </x:c>
      <x:c r="C6" s="18" t="inlineStr">
        <x:is>
          <x:t xml:space="preserve">Kabak</x:t>
        </x:is>
      </x:c>
      <x:c r="D6" s="18" t="inlineStr">
        <x:is>
          <x:t xml:space="preserve">SALTED</x:t>
        </x:is>
      </x:c>
      <x:c r="E6" s="19" t="n">
        <x:v>2</x:v>
      </x:c>
      <x:c r="F6" s="19" t="n">
        <x:v>1</x:v>
      </x:c>
    </x:row>
    <x:row r="7" ht="23" customHeight="1">
      <x:c r="A7" s="18" t="inlineStr">
        <x:is>
          <x:t xml:space="preserve">P006</x:t>
        </x:is>
      </x:c>
      <x:c r="B7" s="18" t="inlineStr">
        <x:is>
          <x:t xml:space="preserve">Badem kavurma</x:t>
        </x:is>
      </x:c>
      <x:c r="C7" s="18" t="inlineStr">
        <x:is>
          <x:t xml:space="preserve">Badem</x:t>
        </x:is>
      </x:c>
      <x:c r="D7" s="18" t="inlineStr">
        <x:is>
          <x:t xml:space="preserve">NONE</x:t>
        </x:is>
      </x:c>
      <x:c r="E7" s="19" t="n">
        <x:v>1</x:v>
      </x:c>
      <x:c r="F7" s="19" t="n">
        <x:v>1</x:v>
      </x:c>
    </x:row>
    <x:row r="8" ht="23" customHeight="1">
      <x:c r="A8" s="18" t="inlineStr">
        <x:is>
          <x:t xml:space="preserve">P007</x:t>
        </x:is>
      </x:c>
      <x:c r="B8" s="18" t="inlineStr">
        <x:is>
          <x:t xml:space="preserve">Kaju kavurma</x:t>
        </x:is>
      </x:c>
      <x:c r="C8" s="18" t="inlineStr">
        <x:is>
          <x:t xml:space="preserve">Kaju</x:t>
        </x:is>
      </x:c>
      <x:c r="D8" s="18" t="inlineStr">
        <x:is>
          <x:t xml:space="preserve">NONE</x:t>
        </x:is>
      </x:c>
      <x:c r="E8" s="19" t="n">
        <x:v>1</x:v>
      </x:c>
      <x:c r="F8" s="19" t="n">
        <x:v>1</x:v>
      </x:c>
    </x:row>
    <x:row r="9" ht="23" customHeight="1">
      <x:c r="A9" s="18" t="inlineStr">
        <x:is>
          <x:t xml:space="preserve">P008</x:t>
        </x:is>
      </x:c>
      <x:c r="B9" s="18" t="inlineStr">
        <x:is>
          <x:t xml:space="preserve">Fıstık Tuzlu Lüks</x:t>
        </x:is>
      </x:c>
      <x:c r="C9" s="18" t="inlineStr">
        <x:is>
          <x:t xml:space="preserve">Fıstık Lüks</x:t>
        </x:is>
      </x:c>
      <x:c r="D9" s="18" t="inlineStr">
        <x:is>
          <x:t xml:space="preserve">SALTED</x:t>
        </x:is>
      </x:c>
      <x:c r="E9" s="19" t="n">
        <x:v>2</x:v>
      </x:c>
      <x:c r="F9" s="19" t="n">
        <x:v>1</x:v>
      </x:c>
    </x:row>
    <x:row r="10" ht="23" customHeight="1">
      <x:c r="A10" s="18" t="inlineStr">
        <x:is>
          <x:t xml:space="preserve">P009</x:t>
        </x:is>
      </x:c>
      <x:c r="B10" s="18" t="inlineStr">
        <x:is>
          <x:t xml:space="preserve">Fıstık Tuzsuz Lüks</x:t>
        </x:is>
      </x:c>
      <x:c r="C10" s="18" t="inlineStr">
        <x:is>
          <x:t xml:space="preserve">Fıstık Lüks</x:t>
        </x:is>
      </x:c>
      <x:c r="D10" s="18" t="inlineStr">
        <x:is>
          <x:t xml:space="preserve">UNSALTED</x:t>
        </x:is>
      </x:c>
      <x:c r="E10" s="19" t="n">
        <x:v>1</x:v>
      </x:c>
      <x:c r="F10" s="19" t="n">
        <x:v>1</x:v>
      </x:c>
    </x:row>
    <x:row r="11" ht="23" customHeight="1">
      <x:c r="A11" s="18" t="inlineStr">
        <x:is>
          <x:t xml:space="preserve">P010</x:t>
        </x:is>
      </x:c>
      <x:c r="B11" s="18" t="inlineStr">
        <x:is>
          <x:t xml:space="preserve">Fıstık Kabuklu</x:t>
        </x:is>
      </x:c>
      <x:c r="C11" s="18" t="inlineStr">
        <x:is>
          <x:t xml:space="preserve">Fıstık Kabuklu</x:t>
        </x:is>
      </x:c>
      <x:c r="D11" s="18" t="inlineStr">
        <x:is>
          <x:t xml:space="preserve">NONE</x:t>
        </x:is>
      </x:c>
      <x:c r="E11" s="19" t="n">
        <x:v>1</x:v>
      </x:c>
      <x:c r="F11" s="19" t="n">
        <x:v>1</x:v>
      </x:c>
    </x:row>
  </x:sheetData>
  <x:dataValidations count="2">
    <x:dataValidation type="list" allowBlank="0" showDropDown="0" showInputMessage="0" showErrorMessage="1" errorTitle="Invalid input" error="Choose a value from the list." sqref="D2:D1001">
      <x:formula1>"UNSALTED,SALTED,NONE"</x:formula1>
    </x:dataValidation>
    <x:dataValidation type="whole" operator="greaterThanOrEqual" allowBlank="0" showDropDown="0" showInputMessage="0" showErrorMessage="1" errorTitle="Invalid numeric input" error="Enter a valid nonnegative number or a value within the allowed limits." sqref="E2:F1001">
      <x:formula1>1</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4.5"/>
  <x:cols>
    <x:col min="1" max="1" width="14" customWidth="1"/>
    <x:col min="2" max="2" width="20" customWidth="1"/>
    <x:col min="3" max="4" width="12" customWidth="1"/>
    <x:col min="4" max="4" width="13" customWidth="1"/>
  </x:cols>
  <x:sheetData>
    <x:row r="1" ht="29" customHeight="1">
      <x:c r="A1" s="17" t="inlineStr">
        <x:is>
          <x:t xml:space="preserve">Machine_ID</x:t>
        </x:is>
      </x:c>
      <x:c r="B1" s="17" t="inlineStr">
        <x:is>
          <x:t xml:space="preserve">Machine</x:t>
        </x:is>
      </x:c>
      <x:c r="C1" s="17" t="inlineStr">
        <x:is>
          <x:t xml:space="preserve">Active</x:t>
        </x:is>
      </x:c>
      <x:c r="D1" s="17" t="inlineStr">
        <x:is>
          <x:t xml:space="preserve">Priority</x:t>
        </x:is>
      </x:c>
    </x:row>
    <x:row r="2" ht="23" customHeight="1">
      <x:c r="A2" s="18" t="inlineStr">
        <x:is>
          <x:t xml:space="preserve">M001</x:t>
        </x:is>
      </x:c>
      <x:c r="B2" s="18" t="inlineStr">
        <x:is>
          <x:t xml:space="preserve">CS1</x:t>
        </x:is>
      </x:c>
      <x:c r="C2" s="19" t="n">
        <x:v>1</x:v>
      </x:c>
      <x:c r="D2" s="19" t="n">
        <x:v>1</x:v>
      </x:c>
    </x:row>
    <x:row r="3" ht="23" customHeight="1">
      <x:c r="A3" s="18" t="inlineStr">
        <x:is>
          <x:t xml:space="preserve">M002</x:t>
        </x:is>
      </x:c>
      <x:c r="B3" s="18" t="inlineStr">
        <x:is>
          <x:t xml:space="preserve">CS2</x:t>
        </x:is>
      </x:c>
      <x:c r="C3" s="19" t="n">
        <x:v>1</x:v>
      </x:c>
      <x:c r="D3" s="19" t="n">
        <x:v>2</x:v>
      </x:c>
    </x:row>
    <x:row r="4" ht="23" customHeight="1">
      <x:c r="A4" s="18" t="inlineStr">
        <x:is>
          <x:t xml:space="preserve">M003</x:t>
        </x:is>
      </x:c>
      <x:c r="B4" s="18" t="inlineStr">
        <x:is>
          <x:t xml:space="preserve">EB1</x:t>
        </x:is>
      </x:c>
      <x:c r="C4" s="19" t="n">
        <x:v>1</x:v>
      </x:c>
      <x:c r="D4" s="19" t="n">
        <x:v>1</x:v>
      </x:c>
    </x:row>
    <x:row r="5" ht="23" customHeight="1">
      <x:c r="A5" s="18" t="inlineStr">
        <x:is>
          <x:t xml:space="preserve">M004</x:t>
        </x:is>
      </x:c>
      <x:c r="B5" s="18" t="inlineStr">
        <x:is>
          <x:t xml:space="preserve">EB2</x:t>
        </x:is>
      </x:c>
      <x:c r="C5" s="19" t="n">
        <x:v>1</x:v>
      </x:c>
      <x:c r="D5" s="19" t="n">
        <x:v>2</x:v>
      </x:c>
    </x:row>
    <x:row r="6" ht="23" customHeight="1">
      <x:c r="A6" s="18" t="inlineStr">
        <x:is>
          <x:t xml:space="preserve">M005</x:t>
        </x:is>
      </x:c>
      <x:c r="B6" s="18" t="inlineStr">
        <x:is>
          <x:t xml:space="preserve">CS3</x:t>
        </x:is>
      </x:c>
      <x:c r="C6" s="19" t="n">
        <x:v>1</x:v>
      </x:c>
      <x:c r="D6" s="19" t="n">
        <x:v>1</x:v>
      </x:c>
    </x:row>
  </x:sheetData>
  <x:dataValidations count="2">
    <x:dataValidation type="list" allowBlank="0" showDropDown="0" showInputMessage="0" showErrorMessage="1" errorTitle="Invalid input" error="Choose a value from the list." sqref="C2:C1001">
      <x:formula1>"0,1"</x:formula1>
    </x:dataValidation>
    <x:dataValidation type="whole" operator="greaterThanOrEqual" allowBlank="0" showDropDown="0" showInputMessage="0" showErrorMessage="1" errorTitle="Invalid numeric input" error="Enter a valid nonnegative number or a value within the allowed limits." sqref="D2:D1001">
      <x:formula1>1</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4.5"/>
  <x:cols>
    <x:col min="1" max="2" width="14" customWidth="1"/>
    <x:col min="2" max="2" width="14" customWidth="1"/>
    <x:col min="3" max="3" width="11" customWidth="1"/>
    <x:col min="4" max="4" width="19" customWidth="1"/>
    <x:col min="5" max="5" width="17" customWidth="1"/>
    <x:col min="6" max="6" width="15" customWidth="1"/>
    <x:col min="7" max="7" width="16" customWidth="1"/>
    <x:col min="8" max="8" width="20" customWidth="1"/>
  </x:cols>
  <x:sheetData>
    <x:row r="1" ht="29" customHeight="1">
      <x:c r="A1" s="17" t="inlineStr">
        <x:is>
          <x:t xml:space="preserve">Machine_ID</x:t>
        </x:is>
      </x:c>
      <x:c r="B1" s="17" t="inlineStr">
        <x:is>
          <x:t xml:space="preserve">Product_ID</x:t>
        </x:is>
      </x:c>
      <x:c r="C1" s="17" t="inlineStr">
        <x:is>
          <x:t xml:space="preserve">Allowed</x:t>
        </x:is>
      </x:c>
      <x:c r="D1" s="17" t="inlineStr">
        <x:is>
          <x:t xml:space="preserve">MachinePriority</x:t>
        </x:is>
      </x:c>
      <x:c r="E1" s="17" t="inlineStr">
        <x:is>
          <x:t xml:space="preserve">Capacity_tph</x:t>
        </x:is>
      </x:c>
      <x:c r="F1" s="17" t="inlineStr">
        <x:is>
          <x:t xml:space="preserve">MinRun_t</x:t>
        </x:is>
      </x:c>
      <x:c r="G1" s="17" t="inlineStr">
        <x:is>
          <x:t xml:space="preserve">MaxDaily_t</x:t>
        </x:is>
      </x:c>
      <x:c r="H1" s="17" t="inlineStr">
        <x:is>
          <x:t xml:space="preserve">Preparation_min</x:t>
        </x:is>
      </x:c>
    </x:row>
    <x:row r="2" ht="23" customHeight="1">
      <x:c r="A2" s="18" t="inlineStr">
        <x:is>
          <x:t xml:space="preserve">M001</x:t>
        </x:is>
      </x:c>
      <x:c r="B2" s="18" t="inlineStr">
        <x:is>
          <x:t xml:space="preserve">P001</x:t>
        </x:is>
      </x:c>
      <x:c r="C2" s="19" t="n">
        <x:v>1</x:v>
      </x:c>
      <x:c r="D2" s="19" t="n">
        <x:v>1</x:v>
      </x:c>
      <x:c r="E2" s="20" t="n">
        <x:v>1.5</x:v>
      </x:c>
      <x:c r="F2" s="19" t="n">
        <x:f>E2*3</x:f>
        <x:v>4.5</x:v>
      </x:c>
      <x:c r="G2" s="19" t="n">
        <x:f>E2*8</x:f>
        <x:v>12</x:v>
      </x:c>
      <x:c r="H2" s="21" t="n">
        <x:v>40</x:v>
      </x:c>
    </x:row>
    <x:row r="3" ht="23" customHeight="1">
      <x:c r="A3" s="18" t="inlineStr">
        <x:is>
          <x:t xml:space="preserve">M001</x:t>
        </x:is>
      </x:c>
      <x:c r="B3" s="18" t="inlineStr">
        <x:is>
          <x:t xml:space="preserve">P002</x:t>
        </x:is>
      </x:c>
      <x:c r="C3" s="19" t="n">
        <x:v>1</x:v>
      </x:c>
      <x:c r="D3" s="19" t="n">
        <x:v>1</x:v>
      </x:c>
      <x:c r="E3" s="20" t="n">
        <x:v>1.75</x:v>
      </x:c>
      <x:c r="F3" s="19" t="n">
        <x:f>E3*3</x:f>
        <x:v>5.25</x:v>
      </x:c>
      <x:c r="G3" s="19" t="n">
        <x:f>E3*8</x:f>
        <x:v>14</x:v>
      </x:c>
      <x:c r="H3" s="21" t="n">
        <x:v>40</x:v>
      </x:c>
    </x:row>
    <x:row r="4" ht="23" customHeight="1">
      <x:c r="A4" s="18" t="inlineStr">
        <x:is>
          <x:t xml:space="preserve">M001</x:t>
        </x:is>
      </x:c>
      <x:c r="B4" s="18" t="inlineStr">
        <x:is>
          <x:t xml:space="preserve">P003</x:t>
        </x:is>
      </x:c>
      <x:c r="C4" s="19" t="n">
        <x:v>0</x:v>
      </x:c>
      <x:c r="D4" s="18" t="n"/>
      <x:c r="E4" s="19" t="n">
        <x:v>0</x:v>
      </x:c>
      <x:c r="F4" s="19" t="n">
        <x:f>E4*3</x:f>
        <x:v>0</x:v>
      </x:c>
      <x:c r="G4" s="19" t="n">
        <x:f>E4*8</x:f>
        <x:v>0</x:v>
      </x:c>
      <x:c r="H4" s="21" t="n">
        <x:v>40</x:v>
      </x:c>
    </x:row>
    <x:row r="5" ht="23" customHeight="1">
      <x:c r="A5" s="18" t="inlineStr">
        <x:is>
          <x:t xml:space="preserve">M001</x:t>
        </x:is>
      </x:c>
      <x:c r="B5" s="18" t="inlineStr">
        <x:is>
          <x:t xml:space="preserve">P004</x:t>
        </x:is>
      </x:c>
      <x:c r="C5" s="19" t="n">
        <x:v>1</x:v>
      </x:c>
      <x:c r="D5" s="19" t="n">
        <x:v>1</x:v>
      </x:c>
      <x:c r="E5" s="20" t="n">
        <x:v>1.2</x:v>
      </x:c>
      <x:c r="F5" s="19" t="n">
        <x:f>E5*3</x:f>
        <x:v>3.5999999999999996</x:v>
      </x:c>
      <x:c r="G5" s="19" t="n">
        <x:f>E5*8</x:f>
        <x:v>9.6</x:v>
      </x:c>
      <x:c r="H5" s="21" t="n">
        <x:v>40</x:v>
      </x:c>
    </x:row>
    <x:row r="6" ht="23" customHeight="1">
      <x:c r="A6" s="18" t="inlineStr">
        <x:is>
          <x:t xml:space="preserve">M001</x:t>
        </x:is>
      </x:c>
      <x:c r="B6" s="18" t="inlineStr">
        <x:is>
          <x:t xml:space="preserve">P005</x:t>
        </x:is>
      </x:c>
      <x:c r="C6" s="19" t="n">
        <x:v>1</x:v>
      </x:c>
      <x:c r="D6" s="19" t="n">
        <x:v>1</x:v>
      </x:c>
      <x:c r="E6" s="20" t="n">
        <x:v>1.5</x:v>
      </x:c>
      <x:c r="F6" s="19" t="n">
        <x:f>E6*3</x:f>
        <x:v>4.5</x:v>
      </x:c>
      <x:c r="G6" s="19" t="n">
        <x:f>E6*8</x:f>
        <x:v>12</x:v>
      </x:c>
      <x:c r="H6" s="21" t="n">
        <x:v>40</x:v>
      </x:c>
    </x:row>
    <x:row r="7" ht="23" customHeight="1">
      <x:c r="A7" s="18" t="inlineStr">
        <x:is>
          <x:t xml:space="preserve">M001</x:t>
        </x:is>
      </x:c>
      <x:c r="B7" s="18" t="inlineStr">
        <x:is>
          <x:t xml:space="preserve">P006</x:t>
        </x:is>
      </x:c>
      <x:c r="C7" s="19" t="n">
        <x:v>0</x:v>
      </x:c>
      <x:c r="D7" s="18" t="n"/>
      <x:c r="E7" s="19" t="n">
        <x:v>0</x:v>
      </x:c>
      <x:c r="F7" s="19" t="n">
        <x:f>E7*3</x:f>
        <x:v>0</x:v>
      </x:c>
      <x:c r="G7" s="19" t="n">
        <x:f>E7*8</x:f>
        <x:v>0</x:v>
      </x:c>
      <x:c r="H7" s="21" t="n">
        <x:v>40</x:v>
      </x:c>
    </x:row>
    <x:row r="8" ht="23" customHeight="1">
      <x:c r="A8" s="18" t="inlineStr">
        <x:is>
          <x:t xml:space="preserve">M001</x:t>
        </x:is>
      </x:c>
      <x:c r="B8" s="18" t="inlineStr">
        <x:is>
          <x:t xml:space="preserve">P007</x:t>
        </x:is>
      </x:c>
      <x:c r="C8" s="19" t="n">
        <x:v>0</x:v>
      </x:c>
      <x:c r="D8" s="18" t="n"/>
      <x:c r="E8" s="19" t="n">
        <x:v>0</x:v>
      </x:c>
      <x:c r="F8" s="19" t="n">
        <x:f>E8*3</x:f>
        <x:v>0</x:v>
      </x:c>
      <x:c r="G8" s="19" t="n">
        <x:f>E8*8</x:f>
        <x:v>0</x:v>
      </x:c>
      <x:c r="H8" s="21" t="n">
        <x:v>40</x:v>
      </x:c>
    </x:row>
    <x:row r="9" ht="23" customHeight="1">
      <x:c r="A9" s="18" t="inlineStr">
        <x:is>
          <x:t xml:space="preserve">M001</x:t>
        </x:is>
      </x:c>
      <x:c r="B9" s="18" t="inlineStr">
        <x:is>
          <x:t xml:space="preserve">P008</x:t>
        </x:is>
      </x:c>
      <x:c r="C9" s="19" t="n">
        <x:v>1</x:v>
      </x:c>
      <x:c r="D9" s="19" t="n">
        <x:v>1</x:v>
      </x:c>
      <x:c r="E9" s="20" t="n">
        <x:v>1.8</x:v>
      </x:c>
      <x:c r="F9" s="19" t="n">
        <x:f>E9*3</x:f>
        <x:v>5.4</x:v>
      </x:c>
      <x:c r="G9" s="19" t="n">
        <x:f>E9*8</x:f>
        <x:v>14.4</x:v>
      </x:c>
      <x:c r="H9" s="21" t="n">
        <x:v>40</x:v>
      </x:c>
    </x:row>
    <x:row r="10" ht="23" customHeight="1">
      <x:c r="A10" s="18" t="inlineStr">
        <x:is>
          <x:t xml:space="preserve">M001</x:t>
        </x:is>
      </x:c>
      <x:c r="B10" s="18" t="inlineStr">
        <x:is>
          <x:t xml:space="preserve">P009</x:t>
        </x:is>
      </x:c>
      <x:c r="C10" s="19" t="n">
        <x:v>1</x:v>
      </x:c>
      <x:c r="D10" s="19" t="n">
        <x:v>1</x:v>
      </x:c>
      <x:c r="E10" s="20" t="n">
        <x:v>1.6</x:v>
      </x:c>
      <x:c r="F10" s="19" t="n">
        <x:f>E10*3</x:f>
        <x:v>4.800000000000001</x:v>
      </x:c>
      <x:c r="G10" s="19" t="n">
        <x:f>E10*8</x:f>
        <x:v>12.8</x:v>
      </x:c>
      <x:c r="H10" s="21" t="n">
        <x:v>40</x:v>
      </x:c>
    </x:row>
    <x:row r="11" ht="23" customHeight="1">
      <x:c r="A11" s="18" t="inlineStr">
        <x:is>
          <x:t xml:space="preserve">M001</x:t>
        </x:is>
      </x:c>
      <x:c r="B11" s="18" t="inlineStr">
        <x:is>
          <x:t xml:space="preserve">P010</x:t>
        </x:is>
      </x:c>
      <x:c r="C11" s="19" t="n">
        <x:v>1</x:v>
      </x:c>
      <x:c r="D11" s="19" t="n">
        <x:v>2</x:v>
      </x:c>
      <x:c r="E11" s="20" t="n">
        <x:v>1.5</x:v>
      </x:c>
      <x:c r="F11" s="19" t="n">
        <x:f>E11*3</x:f>
        <x:v>4.5</x:v>
      </x:c>
      <x:c r="G11" s="19" t="n">
        <x:f>E11*8</x:f>
        <x:v>12</x:v>
      </x:c>
      <x:c r="H11" s="21" t="n">
        <x:v>40</x:v>
      </x:c>
    </x:row>
    <x:row r="12" ht="23" customHeight="1">
      <x:c r="A12" s="18" t="inlineStr">
        <x:is>
          <x:t xml:space="preserve">M002</x:t>
        </x:is>
      </x:c>
      <x:c r="B12" s="18" t="inlineStr">
        <x:is>
          <x:t xml:space="preserve">P001</x:t>
        </x:is>
      </x:c>
      <x:c r="C12" s="19" t="n">
        <x:v>1</x:v>
      </x:c>
      <x:c r="D12" s="19" t="n">
        <x:v>2</x:v>
      </x:c>
      <x:c r="E12" s="20" t="n">
        <x:v>1.5</x:v>
      </x:c>
      <x:c r="F12" s="19" t="n">
        <x:f>E12*3</x:f>
        <x:v>4.5</x:v>
      </x:c>
      <x:c r="G12" s="19" t="n">
        <x:f>E12*8</x:f>
        <x:v>12</x:v>
      </x:c>
      <x:c r="H12" s="21" t="n">
        <x:v>40</x:v>
      </x:c>
    </x:row>
    <x:row r="13" ht="23" customHeight="1">
      <x:c r="A13" s="18" t="inlineStr">
        <x:is>
          <x:t xml:space="preserve">M002</x:t>
        </x:is>
      </x:c>
      <x:c r="B13" s="18" t="inlineStr">
        <x:is>
          <x:t xml:space="preserve">P002</x:t>
        </x:is>
      </x:c>
      <x:c r="C13" s="19" t="n">
        <x:v>1</x:v>
      </x:c>
      <x:c r="D13" s="19" t="n">
        <x:v>2</x:v>
      </x:c>
      <x:c r="E13" s="20" t="n">
        <x:v>1.75</x:v>
      </x:c>
      <x:c r="F13" s="19" t="n">
        <x:f>E13*3</x:f>
        <x:v>5.25</x:v>
      </x:c>
      <x:c r="G13" s="19" t="n">
        <x:f>E13*8</x:f>
        <x:v>14</x:v>
      </x:c>
      <x:c r="H13" s="21" t="n">
        <x:v>40</x:v>
      </x:c>
    </x:row>
    <x:row r="14" ht="23" customHeight="1">
      <x:c r="A14" s="18" t="inlineStr">
        <x:is>
          <x:t xml:space="preserve">M002</x:t>
        </x:is>
      </x:c>
      <x:c r="B14" s="18" t="inlineStr">
        <x:is>
          <x:t xml:space="preserve">P003</x:t>
        </x:is>
      </x:c>
      <x:c r="C14" s="19" t="n">
        <x:v>0</x:v>
      </x:c>
      <x:c r="D14" s="18" t="n"/>
      <x:c r="E14" s="19" t="n">
        <x:v>0</x:v>
      </x:c>
      <x:c r="F14" s="19" t="n">
        <x:f>E14*3</x:f>
        <x:v>0</x:v>
      </x:c>
      <x:c r="G14" s="19" t="n">
        <x:f>E14*8</x:f>
        <x:v>0</x:v>
      </x:c>
      <x:c r="H14" s="21" t="n">
        <x:v>40</x:v>
      </x:c>
    </x:row>
    <x:row r="15" ht="23" customHeight="1">
      <x:c r="A15" s="18" t="inlineStr">
        <x:is>
          <x:t xml:space="preserve">M002</x:t>
        </x:is>
      </x:c>
      <x:c r="B15" s="18" t="inlineStr">
        <x:is>
          <x:t xml:space="preserve">P004</x:t>
        </x:is>
      </x:c>
      <x:c r="C15" s="19" t="n">
        <x:v>1</x:v>
      </x:c>
      <x:c r="D15" s="19" t="n">
        <x:v>3</x:v>
      </x:c>
      <x:c r="E15" s="20" t="n">
        <x:v>1.2</x:v>
      </x:c>
      <x:c r="F15" s="19" t="n">
        <x:f>E15*3</x:f>
        <x:v>3.5999999999999996</x:v>
      </x:c>
      <x:c r="G15" s="19" t="n">
        <x:f>E15*8</x:f>
        <x:v>9.6</x:v>
      </x:c>
      <x:c r="H15" s="21" t="n">
        <x:v>40</x:v>
      </x:c>
    </x:row>
    <x:row r="16" ht="23" customHeight="1">
      <x:c r="A16" s="18" t="inlineStr">
        <x:is>
          <x:t xml:space="preserve">M002</x:t>
        </x:is>
      </x:c>
      <x:c r="B16" s="18" t="inlineStr">
        <x:is>
          <x:t xml:space="preserve">P005</x:t>
        </x:is>
      </x:c>
      <x:c r="C16" s="19" t="n">
        <x:v>1</x:v>
      </x:c>
      <x:c r="D16" s="19" t="n">
        <x:v>3</x:v>
      </x:c>
      <x:c r="E16" s="20" t="n">
        <x:v>1.5</x:v>
      </x:c>
      <x:c r="F16" s="19" t="n">
        <x:f>E16*3</x:f>
        <x:v>4.5</x:v>
      </x:c>
      <x:c r="G16" s="19" t="n">
        <x:f>E16*8</x:f>
        <x:v>12</x:v>
      </x:c>
      <x:c r="H16" s="21" t="n">
        <x:v>40</x:v>
      </x:c>
    </x:row>
    <x:row r="17" ht="23" customHeight="1">
      <x:c r="A17" s="18" t="inlineStr">
        <x:is>
          <x:t xml:space="preserve">M002</x:t>
        </x:is>
      </x:c>
      <x:c r="B17" s="18" t="inlineStr">
        <x:is>
          <x:t xml:space="preserve">P006</x:t>
        </x:is>
      </x:c>
      <x:c r="C17" s="19" t="n">
        <x:v>0</x:v>
      </x:c>
      <x:c r="D17" s="18" t="n"/>
      <x:c r="E17" s="19" t="n">
        <x:v>0</x:v>
      </x:c>
      <x:c r="F17" s="19" t="n">
        <x:f>E17*3</x:f>
        <x:v>0</x:v>
      </x:c>
      <x:c r="G17" s="19" t="n">
        <x:f>E17*8</x:f>
        <x:v>0</x:v>
      </x:c>
      <x:c r="H17" s="21" t="n">
        <x:v>40</x:v>
      </x:c>
    </x:row>
    <x:row r="18" ht="23" customHeight="1">
      <x:c r="A18" s="18" t="inlineStr">
        <x:is>
          <x:t xml:space="preserve">M002</x:t>
        </x:is>
      </x:c>
      <x:c r="B18" s="18" t="inlineStr">
        <x:is>
          <x:t xml:space="preserve">P007</x:t>
        </x:is>
      </x:c>
      <x:c r="C18" s="19" t="n">
        <x:v>0</x:v>
      </x:c>
      <x:c r="D18" s="18" t="n"/>
      <x:c r="E18" s="19" t="n">
        <x:v>0</x:v>
      </x:c>
      <x:c r="F18" s="19" t="n">
        <x:f>E18*3</x:f>
        <x:v>0</x:v>
      </x:c>
      <x:c r="G18" s="19" t="n">
        <x:f>E18*8</x:f>
        <x:v>0</x:v>
      </x:c>
      <x:c r="H18" s="21" t="n">
        <x:v>40</x:v>
      </x:c>
    </x:row>
    <x:row r="19" ht="23" customHeight="1">
      <x:c r="A19" s="18" t="inlineStr">
        <x:is>
          <x:t xml:space="preserve">M002</x:t>
        </x:is>
      </x:c>
      <x:c r="B19" s="18" t="inlineStr">
        <x:is>
          <x:t xml:space="preserve">P008</x:t>
        </x:is>
      </x:c>
      <x:c r="C19" s="19" t="n">
        <x:v>1</x:v>
      </x:c>
      <x:c r="D19" s="19" t="n">
        <x:v>2</x:v>
      </x:c>
      <x:c r="E19" s="20" t="n">
        <x:v>1.8</x:v>
      </x:c>
      <x:c r="F19" s="19" t="n">
        <x:f>E19*3</x:f>
        <x:v>5.4</x:v>
      </x:c>
      <x:c r="G19" s="19" t="n">
        <x:f>E19*8</x:f>
        <x:v>14.4</x:v>
      </x:c>
      <x:c r="H19" s="21" t="n">
        <x:v>40</x:v>
      </x:c>
    </x:row>
    <x:row r="20" ht="23" customHeight="1">
      <x:c r="A20" s="18" t="inlineStr">
        <x:is>
          <x:t xml:space="preserve">M002</x:t>
        </x:is>
      </x:c>
      <x:c r="B20" s="18" t="inlineStr">
        <x:is>
          <x:t xml:space="preserve">P009</x:t>
        </x:is>
      </x:c>
      <x:c r="C20" s="19" t="n">
        <x:v>1</x:v>
      </x:c>
      <x:c r="D20" s="19" t="n">
        <x:v>2</x:v>
      </x:c>
      <x:c r="E20" s="20" t="n">
        <x:v>1.6</x:v>
      </x:c>
      <x:c r="F20" s="19" t="n">
        <x:f>E20*3</x:f>
        <x:v>4.800000000000001</x:v>
      </x:c>
      <x:c r="G20" s="19" t="n">
        <x:f>E20*8</x:f>
        <x:v>12.8</x:v>
      </x:c>
      <x:c r="H20" s="21" t="n">
        <x:v>40</x:v>
      </x:c>
    </x:row>
    <x:row r="21" ht="23" customHeight="1">
      <x:c r="A21" s="18" t="inlineStr">
        <x:is>
          <x:t xml:space="preserve">M002</x:t>
        </x:is>
      </x:c>
      <x:c r="B21" s="18" t="inlineStr">
        <x:is>
          <x:t xml:space="preserve">P010</x:t>
        </x:is>
      </x:c>
      <x:c r="C21" s="19" t="n">
        <x:v>1</x:v>
      </x:c>
      <x:c r="D21" s="19" t="n">
        <x:v>3</x:v>
      </x:c>
      <x:c r="E21" s="20" t="n">
        <x:v>1.5</x:v>
      </x:c>
      <x:c r="F21" s="19" t="n">
        <x:f>E21*3</x:f>
        <x:v>4.5</x:v>
      </x:c>
      <x:c r="G21" s="19" t="n">
        <x:f>E21*8</x:f>
        <x:v>12</x:v>
      </x:c>
      <x:c r="H21" s="21" t="n">
        <x:v>40</x:v>
      </x:c>
    </x:row>
    <x:row r="22" ht="23" customHeight="1">
      <x:c r="A22" s="18" t="inlineStr">
        <x:is>
          <x:t xml:space="preserve">M003</x:t>
        </x:is>
      </x:c>
      <x:c r="B22" s="18" t="inlineStr">
        <x:is>
          <x:t xml:space="preserve">P001</x:t>
        </x:is>
      </x:c>
      <x:c r="C22" s="19" t="n">
        <x:v>0</x:v>
      </x:c>
      <x:c r="D22" s="18" t="n"/>
      <x:c r="E22" s="19" t="n">
        <x:v>0</x:v>
      </x:c>
      <x:c r="F22" s="19" t="n">
        <x:f>E22*3</x:f>
        <x:v>0</x:v>
      </x:c>
      <x:c r="G22" s="19" t="n">
        <x:f>E22*8</x:f>
        <x:v>0</x:v>
      </x:c>
      <x:c r="H22" s="21" t="n">
        <x:v>40</x:v>
      </x:c>
    </x:row>
    <x:row r="23" ht="23" customHeight="1">
      <x:c r="A23" s="18" t="inlineStr">
        <x:is>
          <x:t xml:space="preserve">M003</x:t>
        </x:is>
      </x:c>
      <x:c r="B23" s="18" t="inlineStr">
        <x:is>
          <x:t xml:space="preserve">P002</x:t>
        </x:is>
      </x:c>
      <x:c r="C23" s="19" t="n">
        <x:v>0</x:v>
      </x:c>
      <x:c r="D23" s="18" t="n"/>
      <x:c r="E23" s="19" t="n">
        <x:v>0</x:v>
      </x:c>
      <x:c r="F23" s="19" t="n">
        <x:f>E23*3</x:f>
        <x:v>0</x:v>
      </x:c>
      <x:c r="G23" s="19" t="n">
        <x:f>E23*8</x:f>
        <x:v>0</x:v>
      </x:c>
      <x:c r="H23" s="21" t="n">
        <x:v>40</x:v>
      </x:c>
    </x:row>
    <x:row r="24" ht="23" customHeight="1">
      <x:c r="A24" s="18" t="inlineStr">
        <x:is>
          <x:t xml:space="preserve">M003</x:t>
        </x:is>
      </x:c>
      <x:c r="B24" s="18" t="inlineStr">
        <x:is>
          <x:t xml:space="preserve">P003</x:t>
        </x:is>
      </x:c>
      <x:c r="C24" s="19" t="n">
        <x:v>1</x:v>
      </x:c>
      <x:c r="D24" s="19" t="n">
        <x:v>1</x:v>
      </x:c>
      <x:c r="E24" s="20" t="n">
        <x:v>0.35</x:v>
      </x:c>
      <x:c r="F24" s="19" t="n">
        <x:f>E24*3</x:f>
        <x:v>1.0499999999999998</x:v>
      </x:c>
      <x:c r="G24" s="19" t="n">
        <x:f>E24*8</x:f>
        <x:v>2.8</x:v>
      </x:c>
      <x:c r="H24" s="21" t="n">
        <x:v>40</x:v>
      </x:c>
    </x:row>
    <x:row r="25" ht="23" customHeight="1">
      <x:c r="A25" s="18" t="inlineStr">
        <x:is>
          <x:t xml:space="preserve">M003</x:t>
        </x:is>
      </x:c>
      <x:c r="B25" s="18" t="inlineStr">
        <x:is>
          <x:t xml:space="preserve">P004</x:t>
        </x:is>
      </x:c>
      <x:c r="C25" s="19" t="n">
        <x:v>0</x:v>
      </x:c>
      <x:c r="D25" s="18" t="n"/>
      <x:c r="E25" s="19" t="n">
        <x:v>0</x:v>
      </x:c>
      <x:c r="F25" s="19" t="n">
        <x:f>E25*3</x:f>
        <x:v>0</x:v>
      </x:c>
      <x:c r="G25" s="19" t="n">
        <x:f>E25*8</x:f>
        <x:v>0</x:v>
      </x:c>
      <x:c r="H25" s="21" t="n">
        <x:v>40</x:v>
      </x:c>
    </x:row>
    <x:row r="26" ht="23" customHeight="1">
      <x:c r="A26" s="18" t="inlineStr">
        <x:is>
          <x:t xml:space="preserve">M003</x:t>
        </x:is>
      </x:c>
      <x:c r="B26" s="18" t="inlineStr">
        <x:is>
          <x:t xml:space="preserve">P005</x:t>
        </x:is>
      </x:c>
      <x:c r="C26" s="19" t="n">
        <x:v>0</x:v>
      </x:c>
      <x:c r="D26" s="18" t="n"/>
      <x:c r="E26" s="19" t="n">
        <x:v>0</x:v>
      </x:c>
      <x:c r="F26" s="19" t="n">
        <x:f>E26*3</x:f>
        <x:v>0</x:v>
      </x:c>
      <x:c r="G26" s="19" t="n">
        <x:f>E26*8</x:f>
        <x:v>0</x:v>
      </x:c>
      <x:c r="H26" s="21" t="n">
        <x:v>40</x:v>
      </x:c>
    </x:row>
    <x:row r="27" ht="23" customHeight="1">
      <x:c r="A27" s="18" t="inlineStr">
        <x:is>
          <x:t xml:space="preserve">M003</x:t>
        </x:is>
      </x:c>
      <x:c r="B27" s="18" t="inlineStr">
        <x:is>
          <x:t xml:space="preserve">P006</x:t>
        </x:is>
      </x:c>
      <x:c r="C27" s="19" t="n">
        <x:v>0</x:v>
      </x:c>
      <x:c r="D27" s="18" t="n"/>
      <x:c r="E27" s="19" t="n">
        <x:v>0</x:v>
      </x:c>
      <x:c r="F27" s="19" t="n">
        <x:f>E27*3</x:f>
        <x:v>0</x:v>
      </x:c>
      <x:c r="G27" s="19" t="n">
        <x:f>E27*8</x:f>
        <x:v>0</x:v>
      </x:c>
      <x:c r="H27" s="21" t="n">
        <x:v>40</x:v>
      </x:c>
    </x:row>
    <x:row r="28" ht="23" customHeight="1">
      <x:c r="A28" s="18" t="inlineStr">
        <x:is>
          <x:t xml:space="preserve">M003</x:t>
        </x:is>
      </x:c>
      <x:c r="B28" s="18" t="inlineStr">
        <x:is>
          <x:t xml:space="preserve">P007</x:t>
        </x:is>
      </x:c>
      <x:c r="C28" s="19" t="n">
        <x:v>0</x:v>
      </x:c>
      <x:c r="D28" s="18" t="n"/>
      <x:c r="E28" s="19" t="n">
        <x:v>0</x:v>
      </x:c>
      <x:c r="F28" s="19" t="n">
        <x:f>E28*3</x:f>
        <x:v>0</x:v>
      </x:c>
      <x:c r="G28" s="19" t="n">
        <x:f>E28*8</x:f>
        <x:v>0</x:v>
      </x:c>
      <x:c r="H28" s="21" t="n">
        <x:v>40</x:v>
      </x:c>
    </x:row>
    <x:row r="29" ht="23" customHeight="1">
      <x:c r="A29" s="18" t="inlineStr">
        <x:is>
          <x:t xml:space="preserve">M003</x:t>
        </x:is>
      </x:c>
      <x:c r="B29" s="18" t="inlineStr">
        <x:is>
          <x:t xml:space="preserve">P008</x:t>
        </x:is>
      </x:c>
      <x:c r="C29" s="19" t="n">
        <x:v>0</x:v>
      </x:c>
      <x:c r="D29" s="18" t="n"/>
      <x:c r="E29" s="19" t="n">
        <x:v>0</x:v>
      </x:c>
      <x:c r="F29" s="19" t="n">
        <x:f>E29*3</x:f>
        <x:v>0</x:v>
      </x:c>
      <x:c r="G29" s="19" t="n">
        <x:f>E29*8</x:f>
        <x:v>0</x:v>
      </x:c>
      <x:c r="H29" s="21" t="n">
        <x:v>40</x:v>
      </x:c>
    </x:row>
    <x:row r="30" ht="23" customHeight="1">
      <x:c r="A30" s="18" t="inlineStr">
        <x:is>
          <x:t xml:space="preserve">M003</x:t>
        </x:is>
      </x:c>
      <x:c r="B30" s="18" t="inlineStr">
        <x:is>
          <x:t xml:space="preserve">P009</x:t>
        </x:is>
      </x:c>
      <x:c r="C30" s="19" t="n">
        <x:v>0</x:v>
      </x:c>
      <x:c r="D30" s="18" t="n"/>
      <x:c r="E30" s="19" t="n">
        <x:v>0</x:v>
      </x:c>
      <x:c r="F30" s="19" t="n">
        <x:f>E30*3</x:f>
        <x:v>0</x:v>
      </x:c>
      <x:c r="G30" s="19" t="n">
        <x:f>E30*8</x:f>
        <x:v>0</x:v>
      </x:c>
      <x:c r="H30" s="21" t="n">
        <x:v>40</x:v>
      </x:c>
    </x:row>
    <x:row r="31" ht="23" customHeight="1">
      <x:c r="A31" s="18" t="inlineStr">
        <x:is>
          <x:t xml:space="preserve">M003</x:t>
        </x:is>
      </x:c>
      <x:c r="B31" s="18" t="inlineStr">
        <x:is>
          <x:t xml:space="preserve">P010</x:t>
        </x:is>
      </x:c>
      <x:c r="C31" s="19" t="n">
        <x:v>0</x:v>
      </x:c>
      <x:c r="D31" s="18" t="n"/>
      <x:c r="E31" s="19" t="n">
        <x:v>0</x:v>
      </x:c>
      <x:c r="F31" s="19" t="n">
        <x:f>E31*3</x:f>
        <x:v>0</x:v>
      </x:c>
      <x:c r="G31" s="19" t="n">
        <x:f>E31*8</x:f>
        <x:v>0</x:v>
      </x:c>
      <x:c r="H31" s="21" t="n">
        <x:v>40</x:v>
      </x:c>
    </x:row>
    <x:row r="32" ht="23" customHeight="1">
      <x:c r="A32" s="18" t="inlineStr">
        <x:is>
          <x:t xml:space="preserve">M004</x:t>
        </x:is>
      </x:c>
      <x:c r="B32" s="18" t="inlineStr">
        <x:is>
          <x:t xml:space="preserve">P001</x:t>
        </x:is>
      </x:c>
      <x:c r="C32" s="19" t="n">
        <x:v>0</x:v>
      </x:c>
      <x:c r="D32" s="18" t="n"/>
      <x:c r="E32" s="19" t="n">
        <x:v>0</x:v>
      </x:c>
      <x:c r="F32" s="19" t="n">
        <x:f>E32*3</x:f>
        <x:v>0</x:v>
      </x:c>
      <x:c r="G32" s="19" t="n">
        <x:f>E32*8</x:f>
        <x:v>0</x:v>
      </x:c>
      <x:c r="H32" s="21" t="n">
        <x:v>40</x:v>
      </x:c>
    </x:row>
    <x:row r="33" ht="23" customHeight="1">
      <x:c r="A33" s="18" t="inlineStr">
        <x:is>
          <x:t xml:space="preserve">M004</x:t>
        </x:is>
      </x:c>
      <x:c r="B33" s="18" t="inlineStr">
        <x:is>
          <x:t xml:space="preserve">P002</x:t>
        </x:is>
      </x:c>
      <x:c r="C33" s="19" t="n">
        <x:v>0</x:v>
      </x:c>
      <x:c r="D33" s="18" t="n"/>
      <x:c r="E33" s="19" t="n">
        <x:v>0</x:v>
      </x:c>
      <x:c r="F33" s="19" t="n">
        <x:f>E33*3</x:f>
        <x:v>0</x:v>
      </x:c>
      <x:c r="G33" s="19" t="n">
        <x:f>E33*8</x:f>
        <x:v>0</x:v>
      </x:c>
      <x:c r="H33" s="21" t="n">
        <x:v>40</x:v>
      </x:c>
    </x:row>
    <x:row r="34" ht="23" customHeight="1">
      <x:c r="A34" s="18" t="inlineStr">
        <x:is>
          <x:t xml:space="preserve">M004</x:t>
        </x:is>
      </x:c>
      <x:c r="B34" s="18" t="inlineStr">
        <x:is>
          <x:t xml:space="preserve">P003</x:t>
        </x:is>
      </x:c>
      <x:c r="C34" s="19" t="n">
        <x:v>1</x:v>
      </x:c>
      <x:c r="D34" s="19" t="n">
        <x:v>2</x:v>
      </x:c>
      <x:c r="E34" s="20" t="n">
        <x:v>0.35</x:v>
      </x:c>
      <x:c r="F34" s="19" t="n">
        <x:f>E34*3</x:f>
        <x:v>1.0499999999999998</x:v>
      </x:c>
      <x:c r="G34" s="19" t="n">
        <x:f>E34*8</x:f>
        <x:v>2.8</x:v>
      </x:c>
      <x:c r="H34" s="21" t="n">
        <x:v>40</x:v>
      </x:c>
    </x:row>
    <x:row r="35" ht="23" customHeight="1">
      <x:c r="A35" s="18" t="inlineStr">
        <x:is>
          <x:t xml:space="preserve">M004</x:t>
        </x:is>
      </x:c>
      <x:c r="B35" s="18" t="inlineStr">
        <x:is>
          <x:t xml:space="preserve">P004</x:t>
        </x:is>
      </x:c>
      <x:c r="C35" s="19" t="n">
        <x:v>0</x:v>
      </x:c>
      <x:c r="D35" s="18" t="n"/>
      <x:c r="E35" s="19" t="n">
        <x:v>0</x:v>
      </x:c>
      <x:c r="F35" s="19" t="n">
        <x:f>E35*3</x:f>
        <x:v>0</x:v>
      </x:c>
      <x:c r="G35" s="19" t="n">
        <x:f>E35*8</x:f>
        <x:v>0</x:v>
      </x:c>
      <x:c r="H35" s="21" t="n">
        <x:v>40</x:v>
      </x:c>
    </x:row>
    <x:row r="36" ht="23" customHeight="1">
      <x:c r="A36" s="18" t="inlineStr">
        <x:is>
          <x:t xml:space="preserve">M004</x:t>
        </x:is>
      </x:c>
      <x:c r="B36" s="18" t="inlineStr">
        <x:is>
          <x:t xml:space="preserve">P005</x:t>
        </x:is>
      </x:c>
      <x:c r="C36" s="19" t="n">
        <x:v>0</x:v>
      </x:c>
      <x:c r="D36" s="18" t="n"/>
      <x:c r="E36" s="19" t="n">
        <x:v>0</x:v>
      </x:c>
      <x:c r="F36" s="19" t="n">
        <x:f>E36*3</x:f>
        <x:v>0</x:v>
      </x:c>
      <x:c r="G36" s="19" t="n">
        <x:f>E36*8</x:f>
        <x:v>0</x:v>
      </x:c>
      <x:c r="H36" s="21" t="n">
        <x:v>40</x:v>
      </x:c>
    </x:row>
    <x:row r="37" ht="23" customHeight="1">
      <x:c r="A37" s="18" t="inlineStr">
        <x:is>
          <x:t xml:space="preserve">M004</x:t>
        </x:is>
      </x:c>
      <x:c r="B37" s="18" t="inlineStr">
        <x:is>
          <x:t xml:space="preserve">P006</x:t>
        </x:is>
      </x:c>
      <x:c r="C37" s="19" t="n">
        <x:v>0</x:v>
      </x:c>
      <x:c r="D37" s="18" t="n"/>
      <x:c r="E37" s="19" t="n">
        <x:v>0</x:v>
      </x:c>
      <x:c r="F37" s="19" t="n">
        <x:f>E37*3</x:f>
        <x:v>0</x:v>
      </x:c>
      <x:c r="G37" s="19" t="n">
        <x:f>E37*8</x:f>
        <x:v>0</x:v>
      </x:c>
      <x:c r="H37" s="21" t="n">
        <x:v>40</x:v>
      </x:c>
    </x:row>
    <x:row r="38" ht="23" customHeight="1">
      <x:c r="A38" s="18" t="inlineStr">
        <x:is>
          <x:t xml:space="preserve">M004</x:t>
        </x:is>
      </x:c>
      <x:c r="B38" s="18" t="inlineStr">
        <x:is>
          <x:t xml:space="preserve">P007</x:t>
        </x:is>
      </x:c>
      <x:c r="C38" s="19" t="n">
        <x:v>0</x:v>
      </x:c>
      <x:c r="D38" s="18" t="n"/>
      <x:c r="E38" s="19" t="n">
        <x:v>0</x:v>
      </x:c>
      <x:c r="F38" s="19" t="n">
        <x:f>E38*3</x:f>
        <x:v>0</x:v>
      </x:c>
      <x:c r="G38" s="19" t="n">
        <x:f>E38*8</x:f>
        <x:v>0</x:v>
      </x:c>
      <x:c r="H38" s="21" t="n">
        <x:v>40</x:v>
      </x:c>
    </x:row>
    <x:row r="39" ht="23" customHeight="1">
      <x:c r="A39" s="18" t="inlineStr">
        <x:is>
          <x:t xml:space="preserve">M004</x:t>
        </x:is>
      </x:c>
      <x:c r="B39" s="18" t="inlineStr">
        <x:is>
          <x:t xml:space="preserve">P008</x:t>
        </x:is>
      </x:c>
      <x:c r="C39" s="19" t="n">
        <x:v>0</x:v>
      </x:c>
      <x:c r="D39" s="18" t="n"/>
      <x:c r="E39" s="19" t="n">
        <x:v>0</x:v>
      </x:c>
      <x:c r="F39" s="19" t="n">
        <x:f>E39*3</x:f>
        <x:v>0</x:v>
      </x:c>
      <x:c r="G39" s="19" t="n">
        <x:f>E39*8</x:f>
        <x:v>0</x:v>
      </x:c>
      <x:c r="H39" s="21" t="n">
        <x:v>40</x:v>
      </x:c>
    </x:row>
    <x:row r="40" ht="23" customHeight="1">
      <x:c r="A40" s="18" t="inlineStr">
        <x:is>
          <x:t xml:space="preserve">M004</x:t>
        </x:is>
      </x:c>
      <x:c r="B40" s="18" t="inlineStr">
        <x:is>
          <x:t xml:space="preserve">P009</x:t>
        </x:is>
      </x:c>
      <x:c r="C40" s="19" t="n">
        <x:v>0</x:v>
      </x:c>
      <x:c r="D40" s="18" t="n"/>
      <x:c r="E40" s="19" t="n">
        <x:v>0</x:v>
      </x:c>
      <x:c r="F40" s="19" t="n">
        <x:f>E40*3</x:f>
        <x:v>0</x:v>
      </x:c>
      <x:c r="G40" s="19" t="n">
        <x:f>E40*8</x:f>
        <x:v>0</x:v>
      </x:c>
      <x:c r="H40" s="21" t="n">
        <x:v>40</x:v>
      </x:c>
    </x:row>
    <x:row r="41" ht="23" customHeight="1">
      <x:c r="A41" s="18" t="inlineStr">
        <x:is>
          <x:t xml:space="preserve">M004</x:t>
        </x:is>
      </x:c>
      <x:c r="B41" s="18" t="inlineStr">
        <x:is>
          <x:t xml:space="preserve">P010</x:t>
        </x:is>
      </x:c>
      <x:c r="C41" s="19" t="n">
        <x:v>0</x:v>
      </x:c>
      <x:c r="D41" s="18" t="n"/>
      <x:c r="E41" s="19" t="n">
        <x:v>0</x:v>
      </x:c>
      <x:c r="F41" s="19" t="n">
        <x:f>E41*3</x:f>
        <x:v>0</x:v>
      </x:c>
      <x:c r="G41" s="19" t="n">
        <x:f>E41*8</x:f>
        <x:v>0</x:v>
      </x:c>
      <x:c r="H41" s="21" t="n">
        <x:v>40</x:v>
      </x:c>
    </x:row>
    <x:row r="42" ht="23" customHeight="1">
      <x:c r="A42" s="18" t="inlineStr">
        <x:is>
          <x:t xml:space="preserve">M005</x:t>
        </x:is>
      </x:c>
      <x:c r="B42" s="18" t="inlineStr">
        <x:is>
          <x:t xml:space="preserve">P001</x:t>
        </x:is>
      </x:c>
      <x:c r="C42" s="19" t="n">
        <x:v>0</x:v>
      </x:c>
      <x:c r="D42" s="18" t="n"/>
      <x:c r="E42" s="19" t="n">
        <x:v>0</x:v>
      </x:c>
      <x:c r="F42" s="19" t="n">
        <x:f>E42*3</x:f>
        <x:v>0</x:v>
      </x:c>
      <x:c r="G42" s="19" t="n">
        <x:f>E42*8</x:f>
        <x:v>0</x:v>
      </x:c>
      <x:c r="H42" s="21" t="n">
        <x:v>40</x:v>
      </x:c>
    </x:row>
    <x:row r="43" ht="23" customHeight="1">
      <x:c r="A43" s="18" t="inlineStr">
        <x:is>
          <x:t xml:space="preserve">M005</x:t>
        </x:is>
      </x:c>
      <x:c r="B43" s="18" t="inlineStr">
        <x:is>
          <x:t xml:space="preserve">P002</x:t>
        </x:is>
      </x:c>
      <x:c r="C43" s="19" t="n">
        <x:v>0</x:v>
      </x:c>
      <x:c r="D43" s="18" t="n"/>
      <x:c r="E43" s="19" t="n">
        <x:v>0</x:v>
      </x:c>
      <x:c r="F43" s="19" t="n">
        <x:f>E43*3</x:f>
        <x:v>0</x:v>
      </x:c>
      <x:c r="G43" s="19" t="n">
        <x:f>E43*8</x:f>
        <x:v>0</x:v>
      </x:c>
      <x:c r="H43" s="21" t="n">
        <x:v>40</x:v>
      </x:c>
    </x:row>
    <x:row r="44" ht="23" customHeight="1">
      <x:c r="A44" s="18" t="inlineStr">
        <x:is>
          <x:t xml:space="preserve">M005</x:t>
        </x:is>
      </x:c>
      <x:c r="B44" s="18" t="inlineStr">
        <x:is>
          <x:t xml:space="preserve">P003</x:t>
        </x:is>
      </x:c>
      <x:c r="C44" s="19" t="n">
        <x:v>0</x:v>
      </x:c>
      <x:c r="D44" s="18" t="n"/>
      <x:c r="E44" s="19" t="n">
        <x:v>0</x:v>
      </x:c>
      <x:c r="F44" s="19" t="n">
        <x:f>E44*3</x:f>
        <x:v>0</x:v>
      </x:c>
      <x:c r="G44" s="19" t="n">
        <x:f>E44*8</x:f>
        <x:v>0</x:v>
      </x:c>
      <x:c r="H44" s="21" t="n">
        <x:v>40</x:v>
      </x:c>
    </x:row>
    <x:row r="45" ht="23" customHeight="1">
      <x:c r="A45" s="18" t="inlineStr">
        <x:is>
          <x:t xml:space="preserve">M005</x:t>
        </x:is>
      </x:c>
      <x:c r="B45" s="18" t="inlineStr">
        <x:is>
          <x:t xml:space="preserve">P004</x:t>
        </x:is>
      </x:c>
      <x:c r="C45" s="19" t="n">
        <x:v>1</x:v>
      </x:c>
      <x:c r="D45" s="19" t="n">
        <x:v>2</x:v>
      </x:c>
      <x:c r="E45" s="20" t="n">
        <x:v>0.9</x:v>
      </x:c>
      <x:c r="F45" s="19" t="n">
        <x:f>E45*3</x:f>
        <x:v>2.7</x:v>
      </x:c>
      <x:c r="G45" s="19" t="n">
        <x:f>E45*8</x:f>
        <x:v>7.2</x:v>
      </x:c>
      <x:c r="H45" s="21" t="n">
        <x:v>40</x:v>
      </x:c>
    </x:row>
    <x:row r="46" ht="23" customHeight="1">
      <x:c r="A46" s="18" t="inlineStr">
        <x:is>
          <x:t xml:space="preserve">M005</x:t>
        </x:is>
      </x:c>
      <x:c r="B46" s="18" t="inlineStr">
        <x:is>
          <x:t xml:space="preserve">P005</x:t>
        </x:is>
      </x:c>
      <x:c r="C46" s="19" t="n">
        <x:v>1</x:v>
      </x:c>
      <x:c r="D46" s="19" t="n">
        <x:v>2</x:v>
      </x:c>
      <x:c r="E46" s="20" t="n">
        <x:v>1.1</x:v>
      </x:c>
      <x:c r="F46" s="19" t="n">
        <x:f>E46*3</x:f>
        <x:v>3.3000000000000003</x:v>
      </x:c>
      <x:c r="G46" s="19" t="n">
        <x:f>E46*8</x:f>
        <x:v>8.8</x:v>
      </x:c>
      <x:c r="H46" s="21" t="n">
        <x:v>40</x:v>
      </x:c>
    </x:row>
    <x:row r="47" ht="23" customHeight="1">
      <x:c r="A47" s="18" t="inlineStr">
        <x:is>
          <x:t xml:space="preserve">M005</x:t>
        </x:is>
      </x:c>
      <x:c r="B47" s="18" t="inlineStr">
        <x:is>
          <x:t xml:space="preserve">P006</x:t>
        </x:is>
      </x:c>
      <x:c r="C47" s="19" t="n">
        <x:v>1</x:v>
      </x:c>
      <x:c r="D47" s="19" t="n">
        <x:v>1</x:v>
      </x:c>
      <x:c r="E47" s="20" t="n">
        <x:v>1.6</x:v>
      </x:c>
      <x:c r="F47" s="19" t="n">
        <x:f>E47*3</x:f>
        <x:v>4.800000000000001</x:v>
      </x:c>
      <x:c r="G47" s="19" t="n">
        <x:f>E47*8</x:f>
        <x:v>12.8</x:v>
      </x:c>
      <x:c r="H47" s="21" t="n">
        <x:v>40</x:v>
      </x:c>
    </x:row>
    <x:row r="48" ht="23" customHeight="1">
      <x:c r="A48" s="18" t="inlineStr">
        <x:is>
          <x:t xml:space="preserve">M005</x:t>
        </x:is>
      </x:c>
      <x:c r="B48" s="18" t="inlineStr">
        <x:is>
          <x:t xml:space="preserve">P007</x:t>
        </x:is>
      </x:c>
      <x:c r="C48" s="19" t="n">
        <x:v>1</x:v>
      </x:c>
      <x:c r="D48" s="19" t="n">
        <x:v>1</x:v>
      </x:c>
      <x:c r="E48" s="20" t="n">
        <x:v>1.1</x:v>
      </x:c>
      <x:c r="F48" s="19" t="n">
        <x:f>E48*3</x:f>
        <x:v>3.3000000000000003</x:v>
      </x:c>
      <x:c r="G48" s="19" t="n">
        <x:f>E48*8</x:f>
        <x:v>8.8</x:v>
      </x:c>
      <x:c r="H48" s="21" t="n">
        <x:v>40</x:v>
      </x:c>
    </x:row>
    <x:row r="49" ht="23" customHeight="1">
      <x:c r="A49" s="18" t="inlineStr">
        <x:is>
          <x:t xml:space="preserve">M005</x:t>
        </x:is>
      </x:c>
      <x:c r="B49" s="18" t="inlineStr">
        <x:is>
          <x:t xml:space="preserve">P008</x:t>
        </x:is>
      </x:c>
      <x:c r="C49" s="19" t="n">
        <x:v>0</x:v>
      </x:c>
      <x:c r="D49" s="18" t="n"/>
      <x:c r="E49" s="19" t="n">
        <x:v>0</x:v>
      </x:c>
      <x:c r="F49" s="19" t="n">
        <x:f>E49*3</x:f>
        <x:v>0</x:v>
      </x:c>
      <x:c r="G49" s="19" t="n">
        <x:f>E49*8</x:f>
        <x:v>0</x:v>
      </x:c>
      <x:c r="H49" s="21" t="n">
        <x:v>40</x:v>
      </x:c>
    </x:row>
    <x:row r="50" ht="23" customHeight="1">
      <x:c r="A50" s="18" t="inlineStr">
        <x:is>
          <x:t xml:space="preserve">M005</x:t>
        </x:is>
      </x:c>
      <x:c r="B50" s="18" t="inlineStr">
        <x:is>
          <x:t xml:space="preserve">P009</x:t>
        </x:is>
      </x:c>
      <x:c r="C50" s="19" t="n">
        <x:v>0</x:v>
      </x:c>
      <x:c r="D50" s="18" t="n"/>
      <x:c r="E50" s="19" t="n">
        <x:v>0</x:v>
      </x:c>
      <x:c r="F50" s="19" t="n">
        <x:f>E50*3</x:f>
        <x:v>0</x:v>
      </x:c>
      <x:c r="G50" s="19" t="n">
        <x:f>E50*8</x:f>
        <x:v>0</x:v>
      </x:c>
      <x:c r="H50" s="21" t="n">
        <x:v>40</x:v>
      </x:c>
    </x:row>
    <x:row r="51" ht="23" customHeight="1">
      <x:c r="A51" s="18" t="inlineStr">
        <x:is>
          <x:t xml:space="preserve">M005</x:t>
        </x:is>
      </x:c>
      <x:c r="B51" s="18" t="inlineStr">
        <x:is>
          <x:t xml:space="preserve">P010</x:t>
        </x:is>
      </x:c>
      <x:c r="C51" s="19" t="n">
        <x:v>1</x:v>
      </x:c>
      <x:c r="D51" s="19" t="n">
        <x:v>1</x:v>
      </x:c>
      <x:c r="E51" s="19" t="n">
        <x:v>1</x:v>
      </x:c>
      <x:c r="F51" s="19" t="n">
        <x:f>E51*3</x:f>
        <x:v>3</x:v>
      </x:c>
      <x:c r="G51" s="19" t="n">
        <x:f>E51*8</x:f>
        <x:v>8</x:v>
      </x:c>
      <x:c r="H51" s="21" t="n">
        <x:v>40</x:v>
      </x:c>
    </x:row>
  </x:sheetData>
  <x:dataValidations count="7">
    <x:dataValidation type="list" allowBlank="0" showDropDown="0" showInputMessage="0" showErrorMessage="1" errorTitle="Invalid input" error="Choose a value from the list." sqref="A2:A1001">
      <x:formula1>Machine_IDs</x:formula1>
    </x:dataValidation>
    <x:dataValidation type="list" allowBlank="0" showDropDown="0" showInputMessage="0" showErrorMessage="1" errorTitle="Invalid input" error="Choose a value from the list." sqref="B2:B1001">
      <x:formula1>Product_IDs</x:formula1>
    </x:dataValidation>
    <x:dataValidation type="list" allowBlank="0" showDropDown="0" showInputMessage="0" showErrorMessage="1" errorTitle="Invalid input" error="Choose a value from the list." sqref="C2:C1001">
      <x:formula1>"0,1"</x:formula1>
    </x:dataValidation>
    <x:dataValidation type="whole" operator="greaterThanOrEqual" allowBlank="1" showDropDown="0" showInputMessage="0" showErrorMessage="1" errorTitle="Invalid numeric input" error="Enter a valid nonnegative number or a value within the allowed limits." sqref="D2:D1001">
      <x:formula1>1</x:formula1>
    </x:dataValidation>
    <x:dataValidation type="custom" allowBlank="0" showDropDown="0" showInputMessage="0" showErrorMessage="1" errorTitle="Input consistency" error="Allowed=1 requires positive capacity." sqref="E2:E1001">
      <x:formula1>AND(ISNUMBER(E2),IF(C2=1,E2&gt;0,E2&gt;=0))</x:formula1>
    </x:dataValidation>
    <x:dataValidation type="decimal" operator="greaterThanOrEqual" allowBlank="0" showDropDown="0" showInputMessage="0" showErrorMessage="1" errorTitle="Invalid numeric input" error="Enter a valid nonnegative number or a value within the allowed limits." sqref="F2:G1001">
      <x:formula1>0</x:formula1>
    </x:dataValidation>
    <x:dataValidation type="decimal" operator="greaterThanOrEqual" allowBlank="1" showDropDown="0" showInputMessage="0" showErrorMessage="1" errorTitle="Invalid numeric input" error="Enter a valid nonnegative number or a value within the allowed limits." sqref="H2:H1001">
      <x:formula1>0</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baseColWidth="8" defaultRowHeight="14.5"/>
  <x:cols>
    <x:col min="1" max="1" width="14" customWidth="1"/>
    <x:col min="2" max="2" width="31" customWidth="1"/>
    <x:col min="3" max="3" width="14" customWidth="1"/>
    <x:col min="4" max="4" width="18" customWidth="1"/>
    <x:col min="5" max="5" width="16" customWidth="1"/>
    <x:col min="6" max="6" width="18" customWidth="1"/>
    <x:col min="7" max="7" width="17" customWidth="1"/>
  </x:cols>
  <x:sheetData>
    <x:row r="1" ht="29" customHeight="1">
      <x:c r="A1" s="17" t="inlineStr">
        <x:is>
          <x:t xml:space="preserve">Product_ID</x:t>
        </x:is>
      </x:c>
      <x:c r="B1" s="17" t="inlineStr">
        <x:is>
          <x:t xml:space="preserve">Product</x:t>
        </x:is>
      </x:c>
      <x:c r="C1" s="17" t="inlineStr">
        <x:is>
          <x:t xml:space="preserve">Target_t</x:t>
        </x:is>
      </x:c>
      <x:c r="D1" s="17" t="inlineStr">
        <x:is>
          <x:t xml:space="preserve">TargetPriority</x:t>
        </x:is>
      </x:c>
      <x:c r="E1" s="17" t="inlineStr">
        <x:is>
          <x:t xml:space="preserve">TargetMode</x:t>
        </x:is>
      </x:c>
      <x:c r="F1" s="29" t="inlineStr">
        <x:is>
          <x:t xml:space="preserve">MinRequired_pct</x:t>
        </x:is>
      </x:c>
      <x:c r="G1" s="29" t="inlineStr">
        <x:is>
          <x:t xml:space="preserve">MinRequired_t</x:t>
        </x:is>
      </x:c>
    </x:row>
    <x:row r="2" ht="23" customHeight="1">
      <x:c r="A2" s="18" t="inlineStr">
        <x:is>
          <x:t xml:space="preserve">P001</x:t>
        </x:is>
      </x:c>
      <x:c r="B2" s="18" t="inlineStr">
        <x:is>
          <x:t xml:space="preserve">Ayçekirdeği tuzsuz</x:t>
        </x:is>
      </x:c>
      <x:c r="C2" s="22" t="n">
        <x:v>23</x:v>
      </x:c>
      <x:c r="D2" s="19" t="n">
        <x:v>1</x:v>
      </x:c>
      <x:c r="E2" s="18" t="inlineStr">
        <x:is>
          <x:t xml:space="preserve">SOFT</x:t>
        </x:is>
      </x:c>
      <x:c r="F2" s="30" t="n">
        <x:v>0.8</x:v>
      </x:c>
      <x:c r="G2" s="31" t="n">
        <x:f>C2*F2</x:f>
        <x:v>18.400000000000002</x:v>
      </x:c>
    </x:row>
    <x:row r="3" ht="23" customHeight="1">
      <x:c r="A3" s="18" t="inlineStr">
        <x:is>
          <x:t xml:space="preserve">P002</x:t>
        </x:is>
      </x:c>
      <x:c r="B3" s="18" t="inlineStr">
        <x:is>
          <x:t xml:space="preserve">Ayçekirdeği tuzlu</x:t>
        </x:is>
      </x:c>
      <x:c r="C3" s="22" t="n">
        <x:v>33.825</x:v>
      </x:c>
      <x:c r="D3" s="19" t="n">
        <x:v>1</x:v>
      </x:c>
      <x:c r="E3" s="18" t="inlineStr">
        <x:is>
          <x:t xml:space="preserve">SOFT</x:t>
        </x:is>
      </x:c>
      <x:c r="F3" s="30" t="n">
        <x:v>0.8</x:v>
      </x:c>
      <x:c r="G3" s="31" t="n">
        <x:f>C3*F3</x:f>
        <x:v>27.060000000000002</x:v>
      </x:c>
    </x:row>
    <x:row r="4" ht="23" customHeight="1">
      <x:c r="A4" s="18" t="inlineStr">
        <x:is>
          <x:t xml:space="preserve">P003</x:t>
        </x:is>
      </x:c>
      <x:c r="B4" s="18" t="inlineStr">
        <x:is>
          <x:t xml:space="preserve">Kabak Nevşehir (salamura)</x:t>
        </x:is>
      </x:c>
      <x:c r="C4" s="22" t="n">
        <x:v>30.333</x:v>
      </x:c>
      <x:c r="D4" s="19" t="n">
        <x:v>1</x:v>
      </x:c>
      <x:c r="E4" s="18" t="inlineStr">
        <x:is>
          <x:t xml:space="preserve">SOFT</x:t>
        </x:is>
      </x:c>
      <x:c r="F4" s="30" t="n">
        <x:v>0.8</x:v>
      </x:c>
      <x:c r="G4" s="31" t="n">
        <x:f>C4*F4</x:f>
        <x:v>24.2664</x:v>
      </x:c>
    </x:row>
    <x:row r="5" ht="23" customHeight="1">
      <x:c r="A5" s="18" t="inlineStr">
        <x:is>
          <x:t xml:space="preserve">P004</x:t>
        </x:is>
      </x:c>
      <x:c r="B5" s="18" t="inlineStr">
        <x:is>
          <x:t xml:space="preserve">Kabak Kav. Tuzsuz</x:t>
        </x:is>
      </x:c>
      <x:c r="C5" s="22" t="n">
        <x:v>6.597</x:v>
      </x:c>
      <x:c r="D5" s="19" t="n">
        <x:v>1</x:v>
      </x:c>
      <x:c r="E5" s="18" t="inlineStr">
        <x:is>
          <x:t xml:space="preserve">SOFT</x:t>
        </x:is>
      </x:c>
      <x:c r="F5" s="30" t="n">
        <x:v>0.8</x:v>
      </x:c>
      <x:c r="G5" s="31" t="n">
        <x:f>C5*F5</x:f>
        <x:v>5.2776000000000005</x:v>
      </x:c>
    </x:row>
    <x:row r="6" ht="23" customHeight="1">
      <x:c r="A6" s="18" t="inlineStr">
        <x:is>
          <x:t xml:space="preserve">P005</x:t>
        </x:is>
      </x:c>
      <x:c r="B6" s="18" t="inlineStr">
        <x:is>
          <x:t xml:space="preserve">Kabak Çifte Kav.</x:t>
        </x:is>
      </x:c>
      <x:c r="C6" s="22" t="n">
        <x:v>10.995</x:v>
      </x:c>
      <x:c r="D6" s="19" t="n">
        <x:v>1</x:v>
      </x:c>
      <x:c r="E6" s="18" t="inlineStr">
        <x:is>
          <x:t xml:space="preserve">SOFT</x:t>
        </x:is>
      </x:c>
      <x:c r="F6" s="30" t="n">
        <x:v>0.8</x:v>
      </x:c>
      <x:c r="G6" s="31" t="n">
        <x:f>C6*F6</x:f>
        <x:v>8.796</x:v>
      </x:c>
    </x:row>
    <x:row r="7" ht="23" customHeight="1">
      <x:c r="A7" s="18" t="inlineStr">
        <x:is>
          <x:t xml:space="preserve">P006</x:t>
        </x:is>
      </x:c>
      <x:c r="B7" s="18" t="inlineStr">
        <x:is>
          <x:t xml:space="preserve">Badem kavurma</x:t>
        </x:is>
      </x:c>
      <x:c r="C7" s="22" t="n">
        <x:v>24.533</x:v>
      </x:c>
      <x:c r="D7" s="19" t="n">
        <x:v>1</x:v>
      </x:c>
      <x:c r="E7" s="18" t="inlineStr">
        <x:is>
          <x:t xml:space="preserve">SOFT</x:t>
        </x:is>
      </x:c>
      <x:c r="F7" s="30" t="n">
        <x:v>0.8</x:v>
      </x:c>
      <x:c r="G7" s="31" t="n">
        <x:f>C7*F7</x:f>
        <x:v>19.626400000000004</x:v>
      </x:c>
    </x:row>
    <x:row r="8" ht="23" customHeight="1">
      <x:c r="A8" s="18" t="inlineStr">
        <x:is>
          <x:t xml:space="preserve">P007</x:t>
        </x:is>
      </x:c>
      <x:c r="B8" s="18" t="inlineStr">
        <x:is>
          <x:t xml:space="preserve">Kaju kavurma</x:t>
        </x:is>
      </x:c>
      <x:c r="C8" s="22" t="n">
        <x:v>12.463</x:v>
      </x:c>
      <x:c r="D8" s="19" t="n">
        <x:v>1</x:v>
      </x:c>
      <x:c r="E8" s="18" t="inlineStr">
        <x:is>
          <x:t xml:space="preserve">SOFT</x:t>
        </x:is>
      </x:c>
      <x:c r="F8" s="30" t="n">
        <x:v>0.8</x:v>
      </x:c>
      <x:c r="G8" s="31" t="n">
        <x:f>C8*F8</x:f>
        <x:v>9.9704</x:v>
      </x:c>
    </x:row>
    <x:row r="9" ht="23" customHeight="1">
      <x:c r="A9" s="18" t="inlineStr">
        <x:is>
          <x:t xml:space="preserve">P008</x:t>
        </x:is>
      </x:c>
      <x:c r="B9" s="18" t="inlineStr">
        <x:is>
          <x:t xml:space="preserve">Fıstık Tuzlu Lüks</x:t>
        </x:is>
      </x:c>
      <x:c r="C9" s="22" t="n">
        <x:v>34.8</x:v>
      </x:c>
      <x:c r="D9" s="19" t="n">
        <x:v>1</x:v>
      </x:c>
      <x:c r="E9" s="18" t="inlineStr">
        <x:is>
          <x:t xml:space="preserve">SOFT</x:t>
        </x:is>
      </x:c>
      <x:c r="F9" s="30" t="n">
        <x:v>0.8</x:v>
      </x:c>
      <x:c r="G9" s="31" t="n">
        <x:f>C9*F9</x:f>
        <x:v>27.84</x:v>
      </x:c>
    </x:row>
    <x:row r="10" ht="23" customHeight="1">
      <x:c r="A10" s="18" t="inlineStr">
        <x:is>
          <x:t xml:space="preserve">P009</x:t>
        </x:is>
      </x:c>
      <x:c r="B10" s="18" t="inlineStr">
        <x:is>
          <x:t xml:space="preserve">Fıstık Tuzsuz Lüks</x:t>
        </x:is>
      </x:c>
      <x:c r="C10" s="22" t="n">
        <x:v>37.3</x:v>
      </x:c>
      <x:c r="D10" s="19" t="n">
        <x:v>1</x:v>
      </x:c>
      <x:c r="E10" s="18" t="inlineStr">
        <x:is>
          <x:t xml:space="preserve">SOFT</x:t>
        </x:is>
      </x:c>
      <x:c r="F10" s="30" t="n">
        <x:v>0.8</x:v>
      </x:c>
      <x:c r="G10" s="31" t="n">
        <x:f>C10*F10</x:f>
        <x:v>29.84</x:v>
      </x:c>
    </x:row>
    <x:row r="11" ht="23" customHeight="1">
      <x:c r="A11" s="18" t="inlineStr">
        <x:is>
          <x:t xml:space="preserve">P010</x:t>
        </x:is>
      </x:c>
      <x:c r="B11" s="18" t="inlineStr">
        <x:is>
          <x:t xml:space="preserve">Fıstık Kabuklu</x:t>
        </x:is>
      </x:c>
      <x:c r="C11" s="23" t="n">
        <x:v>7.333</x:v>
      </x:c>
      <x:c r="D11" s="24" t="n">
        <x:v>1</x:v>
      </x:c>
      <x:c r="E11" s="25" t="inlineStr">
        <x:is>
          <x:t xml:space="preserve">SOFT</x:t>
        </x:is>
      </x:c>
      <x:c r="F11" s="30" t="n">
        <x:v>0.8</x:v>
      </x:c>
      <x:c r="G11" s="31" t="n">
        <x:f>C11*F11</x:f>
        <x:v>5.8664000000000005</x:v>
      </x:c>
    </x:row>
  </x:sheetData>
  <x:dataValidations count="5">
    <x:dataValidation type="list" allowBlank="0" showDropDown="0" showInputMessage="0" showErrorMessage="1" errorTitle="Invalid input" error="Choose a value from the list." sqref="A2:A1001">
      <x:formula1>Product_IDs</x:formula1>
    </x:dataValidation>
    <x:dataValidation type="decimal" operator="greaterThanOrEqual" allowBlank="0" showDropDown="0" showInputMessage="0" showErrorMessage="1" errorTitle="Invalid numeric input" error="Enter a valid nonnegative number or a value within the allowed limits." sqref="C2:C1001">
      <x:formula1>0</x:formula1>
    </x:dataValidation>
    <x:dataValidation type="whole" operator="greaterThanOrEqual" allowBlank="0" showDropDown="0" showInputMessage="0" showErrorMessage="1" errorTitle="Invalid numeric input" error="Enter a valid nonnegative number or a value within the allowed limits." sqref="D2:D1001">
      <x:formula1>1</x:formula1>
    </x:dataValidation>
    <x:dataValidation type="list" allowBlank="0" showDropDown="0" showInputMessage="1" showErrorMessage="1" errorTitle="Invalid input" error="Choose a value from the list." promptTitle="Input definition" prompt="SOFT reports unmet; HARD requires full target. Tolerance does not relax HARD." sqref="E2:E1001">
      <x:formula1>"SOFT,HARD"</x:formula1>
    </x:dataValidation>
    <x:dataValidation type="decimal" operator="between" allowBlank="0" showDropDown="0" showInputMessage="0" showErrorMessage="1" error="0 ile 1 arasında değer girin (örnek: 0,8 = %80)." sqref="F2:F11">
      <x:formula1>0</x:formula1>
      <x:formula2>1</x:formula2>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baseColWidth="8" defaultRowHeight="14.5"/>
  <x:cols>
    <x:col min="1" max="1" width="14" customWidth="1"/>
    <x:col min="2" max="2" width="13" customWidth="1"/>
    <x:col min="3" max="3" width="11" customWidth="1"/>
    <x:col min="4" max="4" width="13" customWidth="1"/>
    <x:col min="5" max="5" width="11" customWidth="1"/>
    <x:col min="6" max="6" width="24" customWidth="1"/>
  </x:cols>
  <x:sheetData>
    <x:row r="1" ht="29" customHeight="1">
      <x:c r="A1" s="17" t="inlineStr">
        <x:is>
          <x:t xml:space="preserve">Machine_ID</x:t>
        </x:is>
      </x:c>
      <x:c r="B1" s="17" t="inlineStr">
        <x:is>
          <x:t xml:space="preserve">Day</x:t>
        </x:is>
      </x:c>
      <x:c r="C1" s="17" t="inlineStr">
        <x:is>
          <x:t xml:space="preserve">Shift</x:t>
        </x:is>
      </x:c>
      <x:c r="D1" s="17" t="inlineStr">
        <x:is>
          <x:t xml:space="preserve">Available</x:t>
        </x:is>
      </x:c>
      <x:c r="E1" s="17" t="inlineStr">
        <x:is>
          <x:t xml:space="preserve">Hours</x:t>
        </x:is>
      </x:c>
      <x:c r="F1" s="17" t="inlineStr">
        <x:is>
          <x:t xml:space="preserve">Reason</x:t>
        </x:is>
      </x:c>
    </x:row>
    <x:row r="2" ht="23" customHeight="1">
      <x:c r="A2" s="18" t="inlineStr">
        <x:is>
          <x:t xml:space="preserve">M001</x:t>
        </x:is>
      </x:c>
      <x:c r="B2" s="18" t="inlineStr">
        <x:is>
          <x:t xml:space="preserve">Day-1</x:t>
        </x:is>
      </x:c>
      <x:c r="C2" s="19" t="n">
        <x:v>1</x:v>
      </x:c>
      <x:c r="D2" s="19" t="n">
        <x:v>1</x:v>
      </x:c>
      <x:c r="E2" s="19" t="n">
        <x:v>4</x:v>
      </x:c>
      <x:c r="F2" s="18" t="inlineStr">
        <x:is>
          <x:t xml:space="preserve">Normal</x:t>
        </x:is>
      </x:c>
    </x:row>
    <x:row r="3" ht="23" customHeight="1">
      <x:c r="A3" s="18" t="inlineStr">
        <x:is>
          <x:t xml:space="preserve">M001</x:t>
        </x:is>
      </x:c>
      <x:c r="B3" s="18" t="inlineStr">
        <x:is>
          <x:t xml:space="preserve">Day-1</x:t>
        </x:is>
      </x:c>
      <x:c r="C3" s="19" t="n">
        <x:v>2</x:v>
      </x:c>
      <x:c r="D3" s="19" t="n">
        <x:v>1</x:v>
      </x:c>
      <x:c r="E3" s="19" t="n">
        <x:v>4</x:v>
      </x:c>
      <x:c r="F3" s="18" t="inlineStr">
        <x:is>
          <x:t xml:space="preserve">Normal</x:t>
        </x:is>
      </x:c>
    </x:row>
    <x:row r="4" ht="23" customHeight="1">
      <x:c r="A4" s="18" t="inlineStr">
        <x:is>
          <x:t xml:space="preserve">M001</x:t>
        </x:is>
      </x:c>
      <x:c r="B4" s="18" t="inlineStr">
        <x:is>
          <x:t xml:space="preserve">Day-2</x:t>
        </x:is>
      </x:c>
      <x:c r="C4" s="19" t="n">
        <x:v>1</x:v>
      </x:c>
      <x:c r="D4" s="19" t="n">
        <x:v>1</x:v>
      </x:c>
      <x:c r="E4" s="19" t="n">
        <x:v>4</x:v>
      </x:c>
      <x:c r="F4" s="18" t="inlineStr">
        <x:is>
          <x:t xml:space="preserve">Normal</x:t>
        </x:is>
      </x:c>
    </x:row>
    <x:row r="5" ht="23" customHeight="1">
      <x:c r="A5" s="18" t="inlineStr">
        <x:is>
          <x:t xml:space="preserve">M001</x:t>
        </x:is>
      </x:c>
      <x:c r="B5" s="18" t="inlineStr">
        <x:is>
          <x:t xml:space="preserve">Day-2</x:t>
        </x:is>
      </x:c>
      <x:c r="C5" s="19" t="n">
        <x:v>2</x:v>
      </x:c>
      <x:c r="D5" s="19" t="n">
        <x:v>1</x:v>
      </x:c>
      <x:c r="E5" s="19" t="n">
        <x:v>4</x:v>
      </x:c>
      <x:c r="F5" s="18" t="inlineStr">
        <x:is>
          <x:t xml:space="preserve">Normal</x:t>
        </x:is>
      </x:c>
    </x:row>
    <x:row r="6" ht="23" customHeight="1">
      <x:c r="A6" s="18" t="inlineStr">
        <x:is>
          <x:t xml:space="preserve">M001</x:t>
        </x:is>
      </x:c>
      <x:c r="B6" s="18" t="inlineStr">
        <x:is>
          <x:t xml:space="preserve">Day-3</x:t>
        </x:is>
      </x:c>
      <x:c r="C6" s="19" t="n">
        <x:v>1</x:v>
      </x:c>
      <x:c r="D6" s="19" t="n">
        <x:v>1</x:v>
      </x:c>
      <x:c r="E6" s="19" t="n">
        <x:v>4</x:v>
      </x:c>
      <x:c r="F6" s="18" t="inlineStr">
        <x:is>
          <x:t xml:space="preserve">Normal</x:t>
        </x:is>
      </x:c>
    </x:row>
    <x:row r="7" ht="23" customHeight="1">
      <x:c r="A7" s="18" t="inlineStr">
        <x:is>
          <x:t xml:space="preserve">M001</x:t>
        </x:is>
      </x:c>
      <x:c r="B7" s="18" t="inlineStr">
        <x:is>
          <x:t xml:space="preserve">Day-3</x:t>
        </x:is>
      </x:c>
      <x:c r="C7" s="19" t="n">
        <x:v>2</x:v>
      </x:c>
      <x:c r="D7" s="19" t="n">
        <x:v>1</x:v>
      </x:c>
      <x:c r="E7" s="19" t="n">
        <x:v>4</x:v>
      </x:c>
      <x:c r="F7" s="18" t="inlineStr">
        <x:is>
          <x:t xml:space="preserve">Normal</x:t>
        </x:is>
      </x:c>
    </x:row>
    <x:row r="8" ht="23" customHeight="1">
      <x:c r="A8" s="18" t="inlineStr">
        <x:is>
          <x:t xml:space="preserve">M001</x:t>
        </x:is>
      </x:c>
      <x:c r="B8" s="18" t="inlineStr">
        <x:is>
          <x:t xml:space="preserve">Day-4</x:t>
        </x:is>
      </x:c>
      <x:c r="C8" s="19" t="n">
        <x:v>1</x:v>
      </x:c>
      <x:c r="D8" s="19" t="n">
        <x:v>1</x:v>
      </x:c>
      <x:c r="E8" s="19" t="n">
        <x:v>4</x:v>
      </x:c>
      <x:c r="F8" s="18" t="inlineStr">
        <x:is>
          <x:t xml:space="preserve">Normal</x:t>
        </x:is>
      </x:c>
    </x:row>
    <x:row r="9" ht="23" customHeight="1">
      <x:c r="A9" s="18" t="inlineStr">
        <x:is>
          <x:t xml:space="preserve">M001</x:t>
        </x:is>
      </x:c>
      <x:c r="B9" s="18" t="inlineStr">
        <x:is>
          <x:t xml:space="preserve">Day-4</x:t>
        </x:is>
      </x:c>
      <x:c r="C9" s="19" t="n">
        <x:v>2</x:v>
      </x:c>
      <x:c r="D9" s="19" t="n">
        <x:v>1</x:v>
      </x:c>
      <x:c r="E9" s="19" t="n">
        <x:v>4</x:v>
      </x:c>
      <x:c r="F9" s="18" t="inlineStr">
        <x:is>
          <x:t xml:space="preserve">Normal</x:t>
        </x:is>
      </x:c>
    </x:row>
    <x:row r="10" ht="23" customHeight="1">
      <x:c r="A10" s="18" t="inlineStr">
        <x:is>
          <x:t xml:space="preserve">M001</x:t>
        </x:is>
      </x:c>
      <x:c r="B10" s="18" t="inlineStr">
        <x:is>
          <x:t xml:space="preserve">Day-5</x:t>
        </x:is>
      </x:c>
      <x:c r="C10" s="19" t="n">
        <x:v>1</x:v>
      </x:c>
      <x:c r="D10" s="19" t="n">
        <x:v>1</x:v>
      </x:c>
      <x:c r="E10" s="19" t="n">
        <x:v>4</x:v>
      </x:c>
      <x:c r="F10" s="18" t="inlineStr">
        <x:is>
          <x:t xml:space="preserve">Normal</x:t>
        </x:is>
      </x:c>
    </x:row>
    <x:row r="11" ht="23" customHeight="1">
      <x:c r="A11" s="18" t="inlineStr">
        <x:is>
          <x:t xml:space="preserve">M001</x:t>
        </x:is>
      </x:c>
      <x:c r="B11" s="18" t="inlineStr">
        <x:is>
          <x:t xml:space="preserve">Day-5</x:t>
        </x:is>
      </x:c>
      <x:c r="C11" s="19" t="n">
        <x:v>2</x:v>
      </x:c>
      <x:c r="D11" s="19" t="n">
        <x:v>0</x:v>
      </x:c>
      <x:c r="E11" s="19" t="n">
        <x:v>0</x:v>
      </x:c>
      <x:c r="F11" s="18" t="inlineStr">
        <x:is>
          <x:t xml:space="preserve">General cleaning</x:t>
        </x:is>
      </x:c>
    </x:row>
    <x:row r="12" ht="23" customHeight="1">
      <x:c r="A12" s="18" t="inlineStr">
        <x:is>
          <x:t xml:space="preserve">M001</x:t>
        </x:is>
      </x:c>
      <x:c r="B12" s="18" t="inlineStr">
        <x:is>
          <x:t xml:space="preserve">Day-6</x:t>
        </x:is>
      </x:c>
      <x:c r="C12" s="19" t="n">
        <x:v>1</x:v>
      </x:c>
      <x:c r="D12" s="19" t="n">
        <x:v>1</x:v>
      </x:c>
      <x:c r="E12" s="19" t="n">
        <x:v>4</x:v>
      </x:c>
      <x:c r="F12" s="18" t="inlineStr">
        <x:is>
          <x:t xml:space="preserve">Normal</x:t>
        </x:is>
      </x:c>
    </x:row>
    <x:row r="13" ht="23" customHeight="1">
      <x:c r="A13" s="18" t="inlineStr">
        <x:is>
          <x:t xml:space="preserve">M001</x:t>
        </x:is>
      </x:c>
      <x:c r="B13" s="18" t="inlineStr">
        <x:is>
          <x:t xml:space="preserve">Day-6</x:t>
        </x:is>
      </x:c>
      <x:c r="C13" s="19" t="n">
        <x:v>2</x:v>
      </x:c>
      <x:c r="D13" s="19" t="n">
        <x:v>1</x:v>
      </x:c>
      <x:c r="E13" s="19" t="n">
        <x:v>4</x:v>
      </x:c>
      <x:c r="F13" s="18" t="inlineStr">
        <x:is>
          <x:t xml:space="preserve">Normal</x:t>
        </x:is>
      </x:c>
    </x:row>
    <x:row r="14" ht="23" customHeight="1">
      <x:c r="A14" s="18" t="inlineStr">
        <x:is>
          <x:t xml:space="preserve">M002</x:t>
        </x:is>
      </x:c>
      <x:c r="B14" s="18" t="inlineStr">
        <x:is>
          <x:t xml:space="preserve">Day-1</x:t>
        </x:is>
      </x:c>
      <x:c r="C14" s="19" t="n">
        <x:v>1</x:v>
      </x:c>
      <x:c r="D14" s="19" t="n">
        <x:v>1</x:v>
      </x:c>
      <x:c r="E14" s="19" t="n">
        <x:v>4</x:v>
      </x:c>
      <x:c r="F14" s="18" t="inlineStr">
        <x:is>
          <x:t xml:space="preserve">Normal</x:t>
        </x:is>
      </x:c>
    </x:row>
    <x:row r="15" ht="23" customHeight="1">
      <x:c r="A15" s="18" t="inlineStr">
        <x:is>
          <x:t xml:space="preserve">M002</x:t>
        </x:is>
      </x:c>
      <x:c r="B15" s="18" t="inlineStr">
        <x:is>
          <x:t xml:space="preserve">Day-1</x:t>
        </x:is>
      </x:c>
      <x:c r="C15" s="19" t="n">
        <x:v>2</x:v>
      </x:c>
      <x:c r="D15" s="19" t="n">
        <x:v>1</x:v>
      </x:c>
      <x:c r="E15" s="19" t="n">
        <x:v>4</x:v>
      </x:c>
      <x:c r="F15" s="18" t="inlineStr">
        <x:is>
          <x:t xml:space="preserve">Normal</x:t>
        </x:is>
      </x:c>
    </x:row>
    <x:row r="16" ht="23" customHeight="1">
      <x:c r="A16" s="18" t="inlineStr">
        <x:is>
          <x:t xml:space="preserve">M002</x:t>
        </x:is>
      </x:c>
      <x:c r="B16" s="18" t="inlineStr">
        <x:is>
          <x:t xml:space="preserve">Day-2</x:t>
        </x:is>
      </x:c>
      <x:c r="C16" s="19" t="n">
        <x:v>1</x:v>
      </x:c>
      <x:c r="D16" s="19" t="n">
        <x:v>1</x:v>
      </x:c>
      <x:c r="E16" s="19" t="n">
        <x:v>4</x:v>
      </x:c>
      <x:c r="F16" s="18" t="inlineStr">
        <x:is>
          <x:t xml:space="preserve">Normal</x:t>
        </x:is>
      </x:c>
    </x:row>
    <x:row r="17" ht="23" customHeight="1">
      <x:c r="A17" s="18" t="inlineStr">
        <x:is>
          <x:t xml:space="preserve">M002</x:t>
        </x:is>
      </x:c>
      <x:c r="B17" s="18" t="inlineStr">
        <x:is>
          <x:t xml:space="preserve">Day-2</x:t>
        </x:is>
      </x:c>
      <x:c r="C17" s="19" t="n">
        <x:v>2</x:v>
      </x:c>
      <x:c r="D17" s="19" t="n">
        <x:v>1</x:v>
      </x:c>
      <x:c r="E17" s="19" t="n">
        <x:v>4</x:v>
      </x:c>
      <x:c r="F17" s="18" t="inlineStr">
        <x:is>
          <x:t xml:space="preserve">Normal</x:t>
        </x:is>
      </x:c>
    </x:row>
    <x:row r="18" ht="23" customHeight="1">
      <x:c r="A18" s="18" t="inlineStr">
        <x:is>
          <x:t xml:space="preserve">M002</x:t>
        </x:is>
      </x:c>
      <x:c r="B18" s="18" t="inlineStr">
        <x:is>
          <x:t xml:space="preserve">Day-3</x:t>
        </x:is>
      </x:c>
      <x:c r="C18" s="19" t="n">
        <x:v>1</x:v>
      </x:c>
      <x:c r="D18" s="19" t="n">
        <x:v>1</x:v>
      </x:c>
      <x:c r="E18" s="19" t="n">
        <x:v>4</x:v>
      </x:c>
      <x:c r="F18" s="18" t="inlineStr">
        <x:is>
          <x:t xml:space="preserve">Normal</x:t>
        </x:is>
      </x:c>
    </x:row>
    <x:row r="19" ht="23" customHeight="1">
      <x:c r="A19" s="18" t="inlineStr">
        <x:is>
          <x:t xml:space="preserve">M002</x:t>
        </x:is>
      </x:c>
      <x:c r="B19" s="18" t="inlineStr">
        <x:is>
          <x:t xml:space="preserve">Day-3</x:t>
        </x:is>
      </x:c>
      <x:c r="C19" s="19" t="n">
        <x:v>2</x:v>
      </x:c>
      <x:c r="D19" s="19" t="n">
        <x:v>1</x:v>
      </x:c>
      <x:c r="E19" s="19" t="n">
        <x:v>4</x:v>
      </x:c>
      <x:c r="F19" s="18" t="inlineStr">
        <x:is>
          <x:t xml:space="preserve">Normal</x:t>
        </x:is>
      </x:c>
    </x:row>
    <x:row r="20" ht="23" customHeight="1">
      <x:c r="A20" s="18" t="inlineStr">
        <x:is>
          <x:t xml:space="preserve">M002</x:t>
        </x:is>
      </x:c>
      <x:c r="B20" s="18" t="inlineStr">
        <x:is>
          <x:t xml:space="preserve">Day-4</x:t>
        </x:is>
      </x:c>
      <x:c r="C20" s="19" t="n">
        <x:v>1</x:v>
      </x:c>
      <x:c r="D20" s="19" t="n">
        <x:v>1</x:v>
      </x:c>
      <x:c r="E20" s="19" t="n">
        <x:v>4</x:v>
      </x:c>
      <x:c r="F20" s="18" t="inlineStr">
        <x:is>
          <x:t xml:space="preserve">Normal</x:t>
        </x:is>
      </x:c>
    </x:row>
    <x:row r="21" ht="23" customHeight="1">
      <x:c r="A21" s="18" t="inlineStr">
        <x:is>
          <x:t xml:space="preserve">M002</x:t>
        </x:is>
      </x:c>
      <x:c r="B21" s="18" t="inlineStr">
        <x:is>
          <x:t xml:space="preserve">Day-4</x:t>
        </x:is>
      </x:c>
      <x:c r="C21" s="19" t="n">
        <x:v>2</x:v>
      </x:c>
      <x:c r="D21" s="19" t="n">
        <x:v>1</x:v>
      </x:c>
      <x:c r="E21" s="19" t="n">
        <x:v>4</x:v>
      </x:c>
      <x:c r="F21" s="18" t="inlineStr">
        <x:is>
          <x:t xml:space="preserve">Normal</x:t>
        </x:is>
      </x:c>
    </x:row>
    <x:row r="22" ht="23" customHeight="1">
      <x:c r="A22" s="18" t="inlineStr">
        <x:is>
          <x:t xml:space="preserve">M002</x:t>
        </x:is>
      </x:c>
      <x:c r="B22" s="18" t="inlineStr">
        <x:is>
          <x:t xml:space="preserve">Day-5</x:t>
        </x:is>
      </x:c>
      <x:c r="C22" s="19" t="n">
        <x:v>1</x:v>
      </x:c>
      <x:c r="D22" s="19" t="n">
        <x:v>1</x:v>
      </x:c>
      <x:c r="E22" s="19" t="n">
        <x:v>4</x:v>
      </x:c>
      <x:c r="F22" s="18" t="inlineStr">
        <x:is>
          <x:t xml:space="preserve">Normal</x:t>
        </x:is>
      </x:c>
    </x:row>
    <x:row r="23" ht="23" customHeight="1">
      <x:c r="A23" s="18" t="inlineStr">
        <x:is>
          <x:t xml:space="preserve">M002</x:t>
        </x:is>
      </x:c>
      <x:c r="B23" s="18" t="inlineStr">
        <x:is>
          <x:t xml:space="preserve">Day-5</x:t>
        </x:is>
      </x:c>
      <x:c r="C23" s="19" t="n">
        <x:v>2</x:v>
      </x:c>
      <x:c r="D23" s="19" t="n">
        <x:v>0</x:v>
      </x:c>
      <x:c r="E23" s="19" t="n">
        <x:v>0</x:v>
      </x:c>
      <x:c r="F23" s="18" t="inlineStr">
        <x:is>
          <x:t xml:space="preserve">General cleaning</x:t>
        </x:is>
      </x:c>
    </x:row>
    <x:row r="24" ht="23" customHeight="1">
      <x:c r="A24" s="18" t="inlineStr">
        <x:is>
          <x:t xml:space="preserve">M002</x:t>
        </x:is>
      </x:c>
      <x:c r="B24" s="18" t="inlineStr">
        <x:is>
          <x:t xml:space="preserve">Day-6</x:t>
        </x:is>
      </x:c>
      <x:c r="C24" s="19" t="n">
        <x:v>1</x:v>
      </x:c>
      <x:c r="D24" s="19" t="n">
        <x:v>1</x:v>
      </x:c>
      <x:c r="E24" s="19" t="n">
        <x:v>4</x:v>
      </x:c>
      <x:c r="F24" s="18" t="inlineStr">
        <x:is>
          <x:t xml:space="preserve">Normal</x:t>
        </x:is>
      </x:c>
    </x:row>
    <x:row r="25" ht="23" customHeight="1">
      <x:c r="A25" s="18" t="inlineStr">
        <x:is>
          <x:t xml:space="preserve">M002</x:t>
        </x:is>
      </x:c>
      <x:c r="B25" s="18" t="inlineStr">
        <x:is>
          <x:t xml:space="preserve">Day-6</x:t>
        </x:is>
      </x:c>
      <x:c r="C25" s="19" t="n">
        <x:v>2</x:v>
      </x:c>
      <x:c r="D25" s="19" t="n">
        <x:v>1</x:v>
      </x:c>
      <x:c r="E25" s="19" t="n">
        <x:v>4</x:v>
      </x:c>
      <x:c r="F25" s="18" t="inlineStr">
        <x:is>
          <x:t xml:space="preserve">Normal</x:t>
        </x:is>
      </x:c>
    </x:row>
    <x:row r="26" ht="23" customHeight="1">
      <x:c r="A26" s="18" t="inlineStr">
        <x:is>
          <x:t xml:space="preserve">M003</x:t>
        </x:is>
      </x:c>
      <x:c r="B26" s="18" t="inlineStr">
        <x:is>
          <x:t xml:space="preserve">Day-1</x:t>
        </x:is>
      </x:c>
      <x:c r="C26" s="19" t="n">
        <x:v>1</x:v>
      </x:c>
      <x:c r="D26" s="19" t="n">
        <x:v>1</x:v>
      </x:c>
      <x:c r="E26" s="19" t="n">
        <x:v>4</x:v>
      </x:c>
      <x:c r="F26" s="18" t="inlineStr">
        <x:is>
          <x:t xml:space="preserve">Normal</x:t>
        </x:is>
      </x:c>
    </x:row>
    <x:row r="27" ht="23" customHeight="1">
      <x:c r="A27" s="18" t="inlineStr">
        <x:is>
          <x:t xml:space="preserve">M003</x:t>
        </x:is>
      </x:c>
      <x:c r="B27" s="18" t="inlineStr">
        <x:is>
          <x:t xml:space="preserve">Day-1</x:t>
        </x:is>
      </x:c>
      <x:c r="C27" s="19" t="n">
        <x:v>2</x:v>
      </x:c>
      <x:c r="D27" s="19" t="n">
        <x:v>1</x:v>
      </x:c>
      <x:c r="E27" s="19" t="n">
        <x:v>4</x:v>
      </x:c>
      <x:c r="F27" s="18" t="inlineStr">
        <x:is>
          <x:t xml:space="preserve">Normal</x:t>
        </x:is>
      </x:c>
    </x:row>
    <x:row r="28" ht="23" customHeight="1">
      <x:c r="A28" s="18" t="inlineStr">
        <x:is>
          <x:t xml:space="preserve">M003</x:t>
        </x:is>
      </x:c>
      <x:c r="B28" s="18" t="inlineStr">
        <x:is>
          <x:t xml:space="preserve">Day-2</x:t>
        </x:is>
      </x:c>
      <x:c r="C28" s="19" t="n">
        <x:v>1</x:v>
      </x:c>
      <x:c r="D28" s="19" t="n">
        <x:v>1</x:v>
      </x:c>
      <x:c r="E28" s="19" t="n">
        <x:v>4</x:v>
      </x:c>
      <x:c r="F28" s="18" t="inlineStr">
        <x:is>
          <x:t xml:space="preserve">Normal</x:t>
        </x:is>
      </x:c>
    </x:row>
    <x:row r="29" ht="23" customHeight="1">
      <x:c r="A29" s="18" t="inlineStr">
        <x:is>
          <x:t xml:space="preserve">M003</x:t>
        </x:is>
      </x:c>
      <x:c r="B29" s="18" t="inlineStr">
        <x:is>
          <x:t xml:space="preserve">Day-2</x:t>
        </x:is>
      </x:c>
      <x:c r="C29" s="19" t="n">
        <x:v>2</x:v>
      </x:c>
      <x:c r="D29" s="19" t="n">
        <x:v>1</x:v>
      </x:c>
      <x:c r="E29" s="19" t="n">
        <x:v>4</x:v>
      </x:c>
      <x:c r="F29" s="18" t="inlineStr">
        <x:is>
          <x:t xml:space="preserve">Normal</x:t>
        </x:is>
      </x:c>
    </x:row>
    <x:row r="30" ht="23" customHeight="1">
      <x:c r="A30" s="18" t="inlineStr">
        <x:is>
          <x:t xml:space="preserve">M003</x:t>
        </x:is>
      </x:c>
      <x:c r="B30" s="18" t="inlineStr">
        <x:is>
          <x:t xml:space="preserve">Day-3</x:t>
        </x:is>
      </x:c>
      <x:c r="C30" s="19" t="n">
        <x:v>1</x:v>
      </x:c>
      <x:c r="D30" s="19" t="n">
        <x:v>1</x:v>
      </x:c>
      <x:c r="E30" s="19" t="n">
        <x:v>4</x:v>
      </x:c>
      <x:c r="F30" s="18" t="inlineStr">
        <x:is>
          <x:t xml:space="preserve">Normal</x:t>
        </x:is>
      </x:c>
    </x:row>
    <x:row r="31" ht="23" customHeight="1">
      <x:c r="A31" s="18" t="inlineStr">
        <x:is>
          <x:t xml:space="preserve">M003</x:t>
        </x:is>
      </x:c>
      <x:c r="B31" s="18" t="inlineStr">
        <x:is>
          <x:t xml:space="preserve">Day-3</x:t>
        </x:is>
      </x:c>
      <x:c r="C31" s="19" t="n">
        <x:v>2</x:v>
      </x:c>
      <x:c r="D31" s="19" t="n">
        <x:v>1</x:v>
      </x:c>
      <x:c r="E31" s="19" t="n">
        <x:v>4</x:v>
      </x:c>
      <x:c r="F31" s="18" t="inlineStr">
        <x:is>
          <x:t xml:space="preserve">Normal</x:t>
        </x:is>
      </x:c>
    </x:row>
    <x:row r="32" ht="23" customHeight="1">
      <x:c r="A32" s="18" t="inlineStr">
        <x:is>
          <x:t xml:space="preserve">M003</x:t>
        </x:is>
      </x:c>
      <x:c r="B32" s="18" t="inlineStr">
        <x:is>
          <x:t xml:space="preserve">Day-4</x:t>
        </x:is>
      </x:c>
      <x:c r="C32" s="19" t="n">
        <x:v>1</x:v>
      </x:c>
      <x:c r="D32" s="19" t="n">
        <x:v>1</x:v>
      </x:c>
      <x:c r="E32" s="19" t="n">
        <x:v>4</x:v>
      </x:c>
      <x:c r="F32" s="18" t="inlineStr">
        <x:is>
          <x:t xml:space="preserve">Normal</x:t>
        </x:is>
      </x:c>
    </x:row>
    <x:row r="33" ht="23" customHeight="1">
      <x:c r="A33" s="18" t="inlineStr">
        <x:is>
          <x:t xml:space="preserve">M003</x:t>
        </x:is>
      </x:c>
      <x:c r="B33" s="18" t="inlineStr">
        <x:is>
          <x:t xml:space="preserve">Day-4</x:t>
        </x:is>
      </x:c>
      <x:c r="C33" s="19" t="n">
        <x:v>2</x:v>
      </x:c>
      <x:c r="D33" s="19" t="n">
        <x:v>1</x:v>
      </x:c>
      <x:c r="E33" s="19" t="n">
        <x:v>4</x:v>
      </x:c>
      <x:c r="F33" s="18" t="inlineStr">
        <x:is>
          <x:t xml:space="preserve">Normal</x:t>
        </x:is>
      </x:c>
    </x:row>
    <x:row r="34" ht="23" customHeight="1">
      <x:c r="A34" s="18" t="inlineStr">
        <x:is>
          <x:t xml:space="preserve">M003</x:t>
        </x:is>
      </x:c>
      <x:c r="B34" s="18" t="inlineStr">
        <x:is>
          <x:t xml:space="preserve">Day-5</x:t>
        </x:is>
      </x:c>
      <x:c r="C34" s="19" t="n">
        <x:v>1</x:v>
      </x:c>
      <x:c r="D34" s="19" t="n">
        <x:v>1</x:v>
      </x:c>
      <x:c r="E34" s="19" t="n">
        <x:v>4</x:v>
      </x:c>
      <x:c r="F34" s="18" t="inlineStr">
        <x:is>
          <x:t xml:space="preserve">Normal</x:t>
        </x:is>
      </x:c>
    </x:row>
    <x:row r="35" ht="23" customHeight="1">
      <x:c r="A35" s="18" t="inlineStr">
        <x:is>
          <x:t xml:space="preserve">M003</x:t>
        </x:is>
      </x:c>
      <x:c r="B35" s="18" t="inlineStr">
        <x:is>
          <x:t xml:space="preserve">Day-5</x:t>
        </x:is>
      </x:c>
      <x:c r="C35" s="19" t="n">
        <x:v>2</x:v>
      </x:c>
      <x:c r="D35" s="19" t="n">
        <x:v>0</x:v>
      </x:c>
      <x:c r="E35" s="19" t="n">
        <x:v>0</x:v>
      </x:c>
      <x:c r="F35" s="18" t="inlineStr">
        <x:is>
          <x:t xml:space="preserve">General cleaning</x:t>
        </x:is>
      </x:c>
    </x:row>
    <x:row r="36" ht="23" customHeight="1">
      <x:c r="A36" s="18" t="inlineStr">
        <x:is>
          <x:t xml:space="preserve">M003</x:t>
        </x:is>
      </x:c>
      <x:c r="B36" s="18" t="inlineStr">
        <x:is>
          <x:t xml:space="preserve">Day-6</x:t>
        </x:is>
      </x:c>
      <x:c r="C36" s="19" t="n">
        <x:v>1</x:v>
      </x:c>
      <x:c r="D36" s="19" t="n">
        <x:v>1</x:v>
      </x:c>
      <x:c r="E36" s="19" t="n">
        <x:v>4</x:v>
      </x:c>
      <x:c r="F36" s="18" t="inlineStr">
        <x:is>
          <x:t xml:space="preserve">Normal</x:t>
        </x:is>
      </x:c>
    </x:row>
    <x:row r="37" ht="23" customHeight="1">
      <x:c r="A37" s="18" t="inlineStr">
        <x:is>
          <x:t xml:space="preserve">M003</x:t>
        </x:is>
      </x:c>
      <x:c r="B37" s="18" t="inlineStr">
        <x:is>
          <x:t xml:space="preserve">Day-6</x:t>
        </x:is>
      </x:c>
      <x:c r="C37" s="19" t="n">
        <x:v>2</x:v>
      </x:c>
      <x:c r="D37" s="19" t="n">
        <x:v>1</x:v>
      </x:c>
      <x:c r="E37" s="19" t="n">
        <x:v>4</x:v>
      </x:c>
      <x:c r="F37" s="18" t="inlineStr">
        <x:is>
          <x:t xml:space="preserve">Normal</x:t>
        </x:is>
      </x:c>
    </x:row>
    <x:row r="38" ht="23" customHeight="1">
      <x:c r="A38" s="18" t="inlineStr">
        <x:is>
          <x:t xml:space="preserve">M004</x:t>
        </x:is>
      </x:c>
      <x:c r="B38" s="18" t="inlineStr">
        <x:is>
          <x:t xml:space="preserve">Day-1</x:t>
        </x:is>
      </x:c>
      <x:c r="C38" s="19" t="n">
        <x:v>1</x:v>
      </x:c>
      <x:c r="D38" s="19" t="n">
        <x:v>1</x:v>
      </x:c>
      <x:c r="E38" s="19" t="n">
        <x:v>4</x:v>
      </x:c>
      <x:c r="F38" s="18" t="inlineStr">
        <x:is>
          <x:t xml:space="preserve">Normal</x:t>
        </x:is>
      </x:c>
    </x:row>
    <x:row r="39" ht="23" customHeight="1">
      <x:c r="A39" s="18" t="inlineStr">
        <x:is>
          <x:t xml:space="preserve">M004</x:t>
        </x:is>
      </x:c>
      <x:c r="B39" s="18" t="inlineStr">
        <x:is>
          <x:t xml:space="preserve">Day-1</x:t>
        </x:is>
      </x:c>
      <x:c r="C39" s="19" t="n">
        <x:v>2</x:v>
      </x:c>
      <x:c r="D39" s="19" t="n">
        <x:v>1</x:v>
      </x:c>
      <x:c r="E39" s="19" t="n">
        <x:v>4</x:v>
      </x:c>
      <x:c r="F39" s="18" t="inlineStr">
        <x:is>
          <x:t xml:space="preserve">Normal</x:t>
        </x:is>
      </x:c>
    </x:row>
    <x:row r="40" ht="23" customHeight="1">
      <x:c r="A40" s="18" t="inlineStr">
        <x:is>
          <x:t xml:space="preserve">M004</x:t>
        </x:is>
      </x:c>
      <x:c r="B40" s="18" t="inlineStr">
        <x:is>
          <x:t xml:space="preserve">Day-2</x:t>
        </x:is>
      </x:c>
      <x:c r="C40" s="19" t="n">
        <x:v>1</x:v>
      </x:c>
      <x:c r="D40" s="19" t="n">
        <x:v>1</x:v>
      </x:c>
      <x:c r="E40" s="19" t="n">
        <x:v>4</x:v>
      </x:c>
      <x:c r="F40" s="18" t="inlineStr">
        <x:is>
          <x:t xml:space="preserve">Normal</x:t>
        </x:is>
      </x:c>
    </x:row>
    <x:row r="41" ht="23" customHeight="1">
      <x:c r="A41" s="18" t="inlineStr">
        <x:is>
          <x:t xml:space="preserve">M004</x:t>
        </x:is>
      </x:c>
      <x:c r="B41" s="18" t="inlineStr">
        <x:is>
          <x:t xml:space="preserve">Day-2</x:t>
        </x:is>
      </x:c>
      <x:c r="C41" s="19" t="n">
        <x:v>2</x:v>
      </x:c>
      <x:c r="D41" s="19" t="n">
        <x:v>1</x:v>
      </x:c>
      <x:c r="E41" s="19" t="n">
        <x:v>4</x:v>
      </x:c>
      <x:c r="F41" s="18" t="inlineStr">
        <x:is>
          <x:t xml:space="preserve">Normal</x:t>
        </x:is>
      </x:c>
    </x:row>
    <x:row r="42" ht="23" customHeight="1">
      <x:c r="A42" s="18" t="inlineStr">
        <x:is>
          <x:t xml:space="preserve">M004</x:t>
        </x:is>
      </x:c>
      <x:c r="B42" s="18" t="inlineStr">
        <x:is>
          <x:t xml:space="preserve">Day-3</x:t>
        </x:is>
      </x:c>
      <x:c r="C42" s="19" t="n">
        <x:v>1</x:v>
      </x:c>
      <x:c r="D42" s="19" t="n">
        <x:v>1</x:v>
      </x:c>
      <x:c r="E42" s="19" t="n">
        <x:v>4</x:v>
      </x:c>
      <x:c r="F42" s="18" t="inlineStr">
        <x:is>
          <x:t xml:space="preserve">Normal</x:t>
        </x:is>
      </x:c>
    </x:row>
    <x:row r="43" ht="23" customHeight="1">
      <x:c r="A43" s="18" t="inlineStr">
        <x:is>
          <x:t xml:space="preserve">M004</x:t>
        </x:is>
      </x:c>
      <x:c r="B43" s="18" t="inlineStr">
        <x:is>
          <x:t xml:space="preserve">Day-3</x:t>
        </x:is>
      </x:c>
      <x:c r="C43" s="19" t="n">
        <x:v>2</x:v>
      </x:c>
      <x:c r="D43" s="19" t="n">
        <x:v>1</x:v>
      </x:c>
      <x:c r="E43" s="19" t="n">
        <x:v>4</x:v>
      </x:c>
      <x:c r="F43" s="18" t="inlineStr">
        <x:is>
          <x:t xml:space="preserve">Normal</x:t>
        </x:is>
      </x:c>
    </x:row>
    <x:row r="44" ht="23" customHeight="1">
      <x:c r="A44" s="18" t="inlineStr">
        <x:is>
          <x:t xml:space="preserve">M004</x:t>
        </x:is>
      </x:c>
      <x:c r="B44" s="18" t="inlineStr">
        <x:is>
          <x:t xml:space="preserve">Day-4</x:t>
        </x:is>
      </x:c>
      <x:c r="C44" s="19" t="n">
        <x:v>1</x:v>
      </x:c>
      <x:c r="D44" s="19" t="n">
        <x:v>1</x:v>
      </x:c>
      <x:c r="E44" s="19" t="n">
        <x:v>4</x:v>
      </x:c>
      <x:c r="F44" s="18" t="inlineStr">
        <x:is>
          <x:t xml:space="preserve">Normal</x:t>
        </x:is>
      </x:c>
    </x:row>
    <x:row r="45" ht="23" customHeight="1">
      <x:c r="A45" s="18" t="inlineStr">
        <x:is>
          <x:t xml:space="preserve">M004</x:t>
        </x:is>
      </x:c>
      <x:c r="B45" s="18" t="inlineStr">
        <x:is>
          <x:t xml:space="preserve">Day-4</x:t>
        </x:is>
      </x:c>
      <x:c r="C45" s="19" t="n">
        <x:v>2</x:v>
      </x:c>
      <x:c r="D45" s="19" t="n">
        <x:v>1</x:v>
      </x:c>
      <x:c r="E45" s="19" t="n">
        <x:v>4</x:v>
      </x:c>
      <x:c r="F45" s="18" t="inlineStr">
        <x:is>
          <x:t xml:space="preserve">Normal</x:t>
        </x:is>
      </x:c>
    </x:row>
    <x:row r="46" ht="23" customHeight="1">
      <x:c r="A46" s="18" t="inlineStr">
        <x:is>
          <x:t xml:space="preserve">M004</x:t>
        </x:is>
      </x:c>
      <x:c r="B46" s="18" t="inlineStr">
        <x:is>
          <x:t xml:space="preserve">Day-5</x:t>
        </x:is>
      </x:c>
      <x:c r="C46" s="19" t="n">
        <x:v>1</x:v>
      </x:c>
      <x:c r="D46" s="19" t="n">
        <x:v>1</x:v>
      </x:c>
      <x:c r="E46" s="19" t="n">
        <x:v>4</x:v>
      </x:c>
      <x:c r="F46" s="18" t="inlineStr">
        <x:is>
          <x:t xml:space="preserve">Normal</x:t>
        </x:is>
      </x:c>
    </x:row>
    <x:row r="47" ht="23" customHeight="1">
      <x:c r="A47" s="18" t="inlineStr">
        <x:is>
          <x:t xml:space="preserve">M004</x:t>
        </x:is>
      </x:c>
      <x:c r="B47" s="18" t="inlineStr">
        <x:is>
          <x:t xml:space="preserve">Day-5</x:t>
        </x:is>
      </x:c>
      <x:c r="C47" s="19" t="n">
        <x:v>2</x:v>
      </x:c>
      <x:c r="D47" s="19" t="n">
        <x:v>0</x:v>
      </x:c>
      <x:c r="E47" s="19" t="n">
        <x:v>0</x:v>
      </x:c>
      <x:c r="F47" s="18" t="inlineStr">
        <x:is>
          <x:t xml:space="preserve">General cleaning</x:t>
        </x:is>
      </x:c>
    </x:row>
    <x:row r="48" ht="23" customHeight="1">
      <x:c r="A48" s="18" t="inlineStr">
        <x:is>
          <x:t xml:space="preserve">M004</x:t>
        </x:is>
      </x:c>
      <x:c r="B48" s="18" t="inlineStr">
        <x:is>
          <x:t xml:space="preserve">Day-6</x:t>
        </x:is>
      </x:c>
      <x:c r="C48" s="19" t="n">
        <x:v>1</x:v>
      </x:c>
      <x:c r="D48" s="19" t="n">
        <x:v>1</x:v>
      </x:c>
      <x:c r="E48" s="19" t="n">
        <x:v>4</x:v>
      </x:c>
      <x:c r="F48" s="18" t="inlineStr">
        <x:is>
          <x:t xml:space="preserve">Normal</x:t>
        </x:is>
      </x:c>
    </x:row>
    <x:row r="49" ht="23" customHeight="1">
      <x:c r="A49" s="18" t="inlineStr">
        <x:is>
          <x:t xml:space="preserve">M004</x:t>
        </x:is>
      </x:c>
      <x:c r="B49" s="18" t="inlineStr">
        <x:is>
          <x:t xml:space="preserve">Day-6</x:t>
        </x:is>
      </x:c>
      <x:c r="C49" s="19" t="n">
        <x:v>2</x:v>
      </x:c>
      <x:c r="D49" s="19" t="n">
        <x:v>1</x:v>
      </x:c>
      <x:c r="E49" s="19" t="n">
        <x:v>4</x:v>
      </x:c>
      <x:c r="F49" s="18" t="inlineStr">
        <x:is>
          <x:t xml:space="preserve">Normal</x:t>
        </x:is>
      </x:c>
    </x:row>
    <x:row r="50" ht="23" customHeight="1">
      <x:c r="A50" s="18" t="inlineStr">
        <x:is>
          <x:t xml:space="preserve">M005</x:t>
        </x:is>
      </x:c>
      <x:c r="B50" s="18" t="inlineStr">
        <x:is>
          <x:t xml:space="preserve">Day-1</x:t>
        </x:is>
      </x:c>
      <x:c r="C50" s="19" t="n">
        <x:v>1</x:v>
      </x:c>
      <x:c r="D50" s="19" t="n">
        <x:v>1</x:v>
      </x:c>
      <x:c r="E50" s="19" t="n">
        <x:v>4</x:v>
      </x:c>
      <x:c r="F50" s="18" t="inlineStr">
        <x:is>
          <x:t xml:space="preserve">Normal</x:t>
        </x:is>
      </x:c>
    </x:row>
    <x:row r="51" ht="23" customHeight="1">
      <x:c r="A51" s="18" t="inlineStr">
        <x:is>
          <x:t xml:space="preserve">M005</x:t>
        </x:is>
      </x:c>
      <x:c r="B51" s="18" t="inlineStr">
        <x:is>
          <x:t xml:space="preserve">Day-1</x:t>
        </x:is>
      </x:c>
      <x:c r="C51" s="19" t="n">
        <x:v>2</x:v>
      </x:c>
      <x:c r="D51" s="19" t="n">
        <x:v>1</x:v>
      </x:c>
      <x:c r="E51" s="19" t="n">
        <x:v>4</x:v>
      </x:c>
      <x:c r="F51" s="18" t="inlineStr">
        <x:is>
          <x:t xml:space="preserve">Normal</x:t>
        </x:is>
      </x:c>
    </x:row>
    <x:row r="52" ht="23" customHeight="1">
      <x:c r="A52" s="18" t="inlineStr">
        <x:is>
          <x:t xml:space="preserve">M005</x:t>
        </x:is>
      </x:c>
      <x:c r="B52" s="18" t="inlineStr">
        <x:is>
          <x:t xml:space="preserve">Day-2</x:t>
        </x:is>
      </x:c>
      <x:c r="C52" s="19" t="n">
        <x:v>1</x:v>
      </x:c>
      <x:c r="D52" s="19" t="n">
        <x:v>1</x:v>
      </x:c>
      <x:c r="E52" s="19" t="n">
        <x:v>4</x:v>
      </x:c>
      <x:c r="F52" s="18" t="inlineStr">
        <x:is>
          <x:t xml:space="preserve">Normal</x:t>
        </x:is>
      </x:c>
    </x:row>
    <x:row r="53" ht="23" customHeight="1">
      <x:c r="A53" s="18" t="inlineStr">
        <x:is>
          <x:t xml:space="preserve">M005</x:t>
        </x:is>
      </x:c>
      <x:c r="B53" s="18" t="inlineStr">
        <x:is>
          <x:t xml:space="preserve">Day-2</x:t>
        </x:is>
      </x:c>
      <x:c r="C53" s="19" t="n">
        <x:v>2</x:v>
      </x:c>
      <x:c r="D53" s="19" t="n">
        <x:v>1</x:v>
      </x:c>
      <x:c r="E53" s="19" t="n">
        <x:v>4</x:v>
      </x:c>
      <x:c r="F53" s="18" t="inlineStr">
        <x:is>
          <x:t xml:space="preserve">Normal</x:t>
        </x:is>
      </x:c>
    </x:row>
    <x:row r="54" ht="23" customHeight="1">
      <x:c r="A54" s="18" t="inlineStr">
        <x:is>
          <x:t xml:space="preserve">M005</x:t>
        </x:is>
      </x:c>
      <x:c r="B54" s="18" t="inlineStr">
        <x:is>
          <x:t xml:space="preserve">Day-3</x:t>
        </x:is>
      </x:c>
      <x:c r="C54" s="19" t="n">
        <x:v>1</x:v>
      </x:c>
      <x:c r="D54" s="19" t="n">
        <x:v>1</x:v>
      </x:c>
      <x:c r="E54" s="19" t="n">
        <x:v>4</x:v>
      </x:c>
      <x:c r="F54" s="18" t="inlineStr">
        <x:is>
          <x:t xml:space="preserve">Normal</x:t>
        </x:is>
      </x:c>
    </x:row>
    <x:row r="55" ht="23" customHeight="1">
      <x:c r="A55" s="18" t="inlineStr">
        <x:is>
          <x:t xml:space="preserve">M005</x:t>
        </x:is>
      </x:c>
      <x:c r="B55" s="18" t="inlineStr">
        <x:is>
          <x:t xml:space="preserve">Day-3</x:t>
        </x:is>
      </x:c>
      <x:c r="C55" s="19" t="n">
        <x:v>2</x:v>
      </x:c>
      <x:c r="D55" s="19" t="n">
        <x:v>1</x:v>
      </x:c>
      <x:c r="E55" s="19" t="n">
        <x:v>4</x:v>
      </x:c>
      <x:c r="F55" s="18" t="inlineStr">
        <x:is>
          <x:t xml:space="preserve">Normal</x:t>
        </x:is>
      </x:c>
    </x:row>
    <x:row r="56" ht="23" customHeight="1">
      <x:c r="A56" s="18" t="inlineStr">
        <x:is>
          <x:t xml:space="preserve">M005</x:t>
        </x:is>
      </x:c>
      <x:c r="B56" s="18" t="inlineStr">
        <x:is>
          <x:t xml:space="preserve">Day-4</x:t>
        </x:is>
      </x:c>
      <x:c r="C56" s="19" t="n">
        <x:v>1</x:v>
      </x:c>
      <x:c r="D56" s="19" t="n">
        <x:v>1</x:v>
      </x:c>
      <x:c r="E56" s="19" t="n">
        <x:v>4</x:v>
      </x:c>
      <x:c r="F56" s="18" t="inlineStr">
        <x:is>
          <x:t xml:space="preserve">Normal</x:t>
        </x:is>
      </x:c>
    </x:row>
    <x:row r="57" ht="23" customHeight="1">
      <x:c r="A57" s="18" t="inlineStr">
        <x:is>
          <x:t xml:space="preserve">M005</x:t>
        </x:is>
      </x:c>
      <x:c r="B57" s="18" t="inlineStr">
        <x:is>
          <x:t xml:space="preserve">Day-4</x:t>
        </x:is>
      </x:c>
      <x:c r="C57" s="19" t="n">
        <x:v>2</x:v>
      </x:c>
      <x:c r="D57" s="19" t="n">
        <x:v>1</x:v>
      </x:c>
      <x:c r="E57" s="19" t="n">
        <x:v>4</x:v>
      </x:c>
      <x:c r="F57" s="18" t="inlineStr">
        <x:is>
          <x:t xml:space="preserve">Normal</x:t>
        </x:is>
      </x:c>
    </x:row>
    <x:row r="58" ht="23" customHeight="1">
      <x:c r="A58" s="18" t="inlineStr">
        <x:is>
          <x:t xml:space="preserve">M005</x:t>
        </x:is>
      </x:c>
      <x:c r="B58" s="18" t="inlineStr">
        <x:is>
          <x:t xml:space="preserve">Day-5</x:t>
        </x:is>
      </x:c>
      <x:c r="C58" s="19" t="n">
        <x:v>1</x:v>
      </x:c>
      <x:c r="D58" s="19" t="n">
        <x:v>1</x:v>
      </x:c>
      <x:c r="E58" s="19" t="n">
        <x:v>4</x:v>
      </x:c>
      <x:c r="F58" s="18" t="inlineStr">
        <x:is>
          <x:t xml:space="preserve">Normal</x:t>
        </x:is>
      </x:c>
    </x:row>
    <x:row r="59" ht="23" customHeight="1">
      <x:c r="A59" s="18" t="inlineStr">
        <x:is>
          <x:t xml:space="preserve">M005</x:t>
        </x:is>
      </x:c>
      <x:c r="B59" s="18" t="inlineStr">
        <x:is>
          <x:t xml:space="preserve">Day-5</x:t>
        </x:is>
      </x:c>
      <x:c r="C59" s="19" t="n">
        <x:v>2</x:v>
      </x:c>
      <x:c r="D59" s="19" t="n">
        <x:v>0</x:v>
      </x:c>
      <x:c r="E59" s="19" t="n">
        <x:v>0</x:v>
      </x:c>
      <x:c r="F59" s="18" t="inlineStr">
        <x:is>
          <x:t xml:space="preserve">General cleaning</x:t>
        </x:is>
      </x:c>
    </x:row>
    <x:row r="60" ht="23" customHeight="1">
      <x:c r="A60" s="18" t="inlineStr">
        <x:is>
          <x:t xml:space="preserve">M005</x:t>
        </x:is>
      </x:c>
      <x:c r="B60" s="18" t="inlineStr">
        <x:is>
          <x:t xml:space="preserve">Day-6</x:t>
        </x:is>
      </x:c>
      <x:c r="C60" s="19" t="n">
        <x:v>1</x:v>
      </x:c>
      <x:c r="D60" s="19" t="n">
        <x:v>1</x:v>
      </x:c>
      <x:c r="E60" s="19" t="n">
        <x:v>4</x:v>
      </x:c>
      <x:c r="F60" s="18" t="inlineStr">
        <x:is>
          <x:t xml:space="preserve">Normal</x:t>
        </x:is>
      </x:c>
    </x:row>
    <x:row r="61" ht="23" customHeight="1">
      <x:c r="A61" s="18" t="inlineStr">
        <x:is>
          <x:t xml:space="preserve">M005</x:t>
        </x:is>
      </x:c>
      <x:c r="B61" s="18" t="inlineStr">
        <x:is>
          <x:t xml:space="preserve">Day-6</x:t>
        </x:is>
      </x:c>
      <x:c r="C61" s="19" t="n">
        <x:v>2</x:v>
      </x:c>
      <x:c r="D61" s="19" t="n">
        <x:v>1</x:v>
      </x:c>
      <x:c r="E61" s="19" t="n">
        <x:v>4</x:v>
      </x:c>
      <x:c r="F61" s="18" t="inlineStr">
        <x:is>
          <x:t xml:space="preserve">Normal</x:t>
        </x:is>
      </x:c>
    </x:row>
  </x:sheetData>
  <x:dataValidations count="4">
    <x:dataValidation type="list" allowBlank="0" showDropDown="0" showInputMessage="0" showErrorMessage="1" errorTitle="Invalid input" error="Choose a value from the list." sqref="A2:A1001">
      <x:formula1>Machine_IDs</x:formula1>
    </x:dataValidation>
    <x:dataValidation type="whole" operator="greaterThanOrEqual" allowBlank="0" showDropDown="0" showInputMessage="0" showErrorMessage="1" errorTitle="Invalid numeric input" error="Enter a valid nonnegative number or a value within the allowed limits." sqref="C2:C1001">
      <x:formula1>1</x:formula1>
    </x:dataValidation>
    <x:dataValidation type="list" allowBlank="0" showDropDown="0" showInputMessage="0" showErrorMessage="1" errorTitle="Invalid input" error="Choose a value from the list." sqref="D2:D1001">
      <x:formula1>"0,1"</x:formula1>
    </x:dataValidation>
    <x:dataValidation type="custom" allowBlank="0" showDropDown="0" showInputMessage="0" showErrorMessage="1" errorTitle="Input consistency" error="Available=1 requires positive Hours; Available=0 requires zero Hours." sqref="E2:E1001">
      <x:formula1>AND(ISNUMBER(E2),IF(D2=1,E2&gt;0,E2=0))</x:formula1>
    </x:dataValidation>
  </x:dataValidation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baseColWidth="8" defaultRowHeight="14.5"/>
  <x:cols>
    <x:col min="1" max="1" width="14" customWidth="1"/>
    <x:col min="2" max="2" width="21" customWidth="1"/>
    <x:col min="3" max="4" width="24" customWidth="1"/>
    <x:col min="4" max="4" width="24" customWidth="1"/>
    <x:col min="5" max="5" width="20" customWidth="1"/>
    <x:col min="6" max="6" width="10" customWidth="1"/>
  </x:cols>
  <x:sheetData>
    <x:row r="1" ht="29" customHeight="1">
      <x:c r="A1" s="17" t="inlineStr">
        <x:is>
          <x:t xml:space="preserve">Rule_ID</x:t>
        </x:is>
      </x:c>
      <x:c r="B1" s="17" t="inlineStr">
        <x:is>
          <x:t xml:space="preserve">Family</x:t>
        </x:is>
      </x:c>
      <x:c r="C1" s="17" t="inlineStr">
        <x:is>
          <x:t xml:space="preserve">Before_Product_ID</x:t>
        </x:is>
      </x:c>
      <x:c r="D1" s="17" t="inlineStr">
        <x:is>
          <x:t xml:space="preserve">After_Product_ID</x:t>
        </x:is>
      </x:c>
      <x:c r="E1" s="17" t="inlineStr">
        <x:is>
          <x:t xml:space="preserve">Scope</x:t>
        </x:is>
      </x:c>
      <x:c r="F1" s="17" t="inlineStr">
        <x:is>
          <x:t xml:space="preserve">Hard</x:t>
        </x:is>
      </x:c>
    </x:row>
    <x:row r="2" ht="23" customHeight="1">
      <x:c r="A2" s="18" t="inlineStr">
        <x:is>
          <x:t xml:space="preserve">SQ001</x:t>
        </x:is>
      </x:c>
      <x:c r="B2" s="18" t="inlineStr">
        <x:is>
          <x:t xml:space="preserve">Ayçekirdeği</x:t>
        </x:is>
      </x:c>
      <x:c r="C2" s="18" t="inlineStr">
        <x:is>
          <x:t xml:space="preserve">P001</x:t>
        </x:is>
      </x:c>
      <x:c r="D2" s="18" t="inlineStr">
        <x:is>
          <x:t xml:space="preserve">P002</x:t>
        </x:is>
      </x:c>
      <x:c r="E2" s="18" t="inlineStr">
        <x:is>
          <x:t xml:space="preserve">SAME_MACHINE</x:t>
        </x:is>
      </x:c>
      <x:c r="F2" s="19" t="n">
        <x:v>1</x:v>
      </x:c>
    </x:row>
    <x:row r="3" ht="23" customHeight="1">
      <x:c r="A3" s="18" t="inlineStr">
        <x:is>
          <x:t xml:space="preserve">SQ002</x:t>
        </x:is>
      </x:c>
      <x:c r="B3" s="18" t="inlineStr">
        <x:is>
          <x:t xml:space="preserve">Fıstık Lüks</x:t>
        </x:is>
      </x:c>
      <x:c r="C3" s="18" t="inlineStr">
        <x:is>
          <x:t xml:space="preserve">P009</x:t>
        </x:is>
      </x:c>
      <x:c r="D3" s="18" t="inlineStr">
        <x:is>
          <x:t xml:space="preserve">P008</x:t>
        </x:is>
      </x:c>
      <x:c r="E3" s="18" t="inlineStr">
        <x:is>
          <x:t xml:space="preserve">SAME_MACHINE</x:t>
        </x:is>
      </x:c>
      <x:c r="F3" s="19" t="n">
        <x:v>1</x:v>
      </x:c>
    </x:row>
    <x:row r="4" ht="23" customHeight="1">
      <x:c r="A4" s="18" t="inlineStr">
        <x:is>
          <x:t xml:space="preserve">SQ003</x:t>
        </x:is>
      </x:c>
      <x:c r="B4" s="18" t="inlineStr">
        <x:is>
          <x:t xml:space="preserve">Kabak</x:t>
        </x:is>
      </x:c>
      <x:c r="C4" s="18" t="inlineStr">
        <x:is>
          <x:t xml:space="preserve">P004</x:t>
        </x:is>
      </x:c>
      <x:c r="D4" s="18" t="inlineStr">
        <x:is>
          <x:t xml:space="preserve">P005</x:t>
        </x:is>
      </x:c>
      <x:c r="E4" s="18" t="inlineStr">
        <x:is>
          <x:t xml:space="preserve">SAME_MACHINE</x:t>
        </x:is>
      </x:c>
      <x:c r="F4" s="19" t="n">
        <x:v>1</x:v>
      </x:c>
    </x:row>
  </x:sheetData>
  <x:dataValidations count="3">
    <x:dataValidation type="list" allowBlank="0" showDropDown="0" showInputMessage="0" showErrorMessage="1" errorTitle="Invalid input" error="Choose a value from the list." sqref="C2:D1000">
      <x:formula1>Product_IDs</x:formula1>
    </x:dataValidation>
    <x:dataValidation type="list" allowBlank="0" showDropDown="0" showInputMessage="0" showErrorMessage="1" errorTitle="Invalid input" error="Choose a value from the list." sqref="E2:E1000">
      <x:formula1>"SAME_MACHINE"</x:formula1>
    </x:dataValidation>
    <x:dataValidation type="list" allowBlank="0" showDropDown="0" showInputMessage="0" showErrorMessage="1" errorTitle="Invalid input" error="Choose a value from the list." sqref="F2:F1000">
      <x:formula1>"1"</x:formula1>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baseColWidth="8" defaultRowHeight="14.5"/>
  <x:cols>
    <x:col min="1" max="1" width="13" customWidth="1"/>
    <x:col min="2" max="2" width="19" customWidth="1"/>
    <x:col min="3" max="3" width="24" customWidth="1"/>
    <x:col min="4" max="4" width="29" customWidth="1"/>
    <x:col min="5" max="5" width="10" customWidth="1"/>
    <x:col min="6" max="6" width="52" customWidth="1"/>
  </x:cols>
  <x:sheetData>
    <x:row r="1" ht="29" customHeight="1">
      <x:c r="A1" s="17" t="inlineStr">
        <x:is>
          <x:t xml:space="preserve">Rule_ID</x:t>
        </x:is>
      </x:c>
      <x:c r="B1" s="17" t="inlineStr">
        <x:is>
          <x:t xml:space="preserve">Scope</x:t>
        </x:is>
      </x:c>
      <x:c r="C1" s="17" t="inlineStr">
        <x:is>
          <x:t xml:space="preserve">Max_Products_Per_Shift</x:t>
        </x:is>
      </x:c>
      <x:c r="D1" s="17" t="inlineStr">
        <x:is>
          <x:t xml:space="preserve">Max_Changeovers_Per_Day</x:t>
        </x:is>
      </x:c>
      <x:c r="E1" s="17" t="inlineStr">
        <x:is>
          <x:t xml:space="preserve">Hard</x:t>
        </x:is>
      </x:c>
      <x:c r="F1" s="17" t="inlineStr">
        <x:is>
          <x:t xml:space="preserve">Description</x:t>
        </x:is>
      </x:c>
    </x:row>
    <x:row r="2" ht="66" customHeight="1">
      <x:c r="A2" s="18" t="inlineStr">
        <x:is>
          <x:t xml:space="preserve">CO001</x:t>
        </x:is>
      </x:c>
      <x:c r="B2" s="18" t="inlineStr">
        <x:is>
          <x:t xml:space="preserve">MACHINE_DAY</x:t>
        </x:is>
      </x:c>
      <x:c r="C2" s="19" t="n">
        <x:v>1</x:v>
      </x:c>
      <x:c r="D2" s="19" t="n">
        <x:v>1</x:v>
      </x:c>
      <x:c r="E2" s="19" t="n">
        <x:v>1</x:v>
      </x:c>
      <x:c r="F2" s="26" t="inlineStr">
        <x:is>
          <x:t xml:space="preserve">HARD: one product per machine-shift and at most one product change per machine-day. Count the transition from the last produced product, including the previous day. Attribute the change to the new product start day. Idle shifts do not reset product state. An initial setup from an empty machine consumes preparation time but is not a changeover.</x:t>
        </x:is>
      </x:c>
    </x:row>
  </x:sheetData>
  <x:dataValidations count="4">
    <x:dataValidation type="list" allowBlank="0" showDropDown="0" showInputMessage="0" showErrorMessage="1" errorTitle="Invalid input" error="Choose a value from the list." sqref="B2:B1001">
      <x:formula1>"MACHINE_DAY"</x:formula1>
    </x:dataValidation>
    <x:dataValidation type="whole" operator="greaterThanOrEqual" allowBlank="0" showDropDown="0" showInputMessage="0" showErrorMessage="1" errorTitle="Invalid numeric input" error="Enter a valid nonnegative number or a value within the allowed limits." sqref="C2:C1001">
      <x:formula1>1</x:formula1>
    </x:dataValidation>
    <x:dataValidation type="whole" operator="greaterThanOrEqual" allowBlank="0" showDropDown="0" showInputMessage="0" showErrorMessage="1" errorTitle="Invalid numeric input" error="Enter a valid nonnegative number or a value within the allowed limits." sqref="D2:D1001">
      <x:formula1>0</x:formula1>
    </x:dataValidation>
    <x:dataValidation type="list" allowBlank="0" showDropDown="0" showInputMessage="0" showErrorMessage="1" errorTitle="Invalid input" error="Choose a value from the list." sqref="E2:E1001">
      <x:formula1>"1"</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baseColWidth="8" defaultRowHeight="14.5"/>
  <x:cols>
    <x:col min="1" max="1" width="13" customWidth="1"/>
    <x:col min="2" max="2" width="19" customWidth="1"/>
    <x:col min="3" max="3" width="24" customWidth="1"/>
    <x:col min="4" max="4" width="25" customWidth="1"/>
    <x:col min="5" max="5" width="28" customWidth="1"/>
    <x:col min="6" max="6" width="10" customWidth="1"/>
    <x:col min="7" max="7" width="51" customWidth="1"/>
    <x:col min="8" max="8" width="36" customWidth="1"/>
  </x:cols>
  <x:sheetData>
    <x:row r="1" ht="29" customHeight="1">
      <x:c r="A1" s="17" t="inlineStr">
        <x:is>
          <x:t xml:space="preserve">Rule_ID</x:t>
        </x:is>
      </x:c>
      <x:c r="B1" s="17" t="inlineStr">
        <x:is>
          <x:t xml:space="preserve">Scope</x:t>
        </x:is>
      </x:c>
      <x:c r="C1" s="17" t="inlineStr">
        <x:is>
          <x:t xml:space="preserve">Prefer_Single_Machine</x:t>
        </x:is>
      </x:c>
      <x:c r="D1" s="17" t="inlineStr">
        <x:is>
          <x:t xml:space="preserve">Preferred_Max_Machines</x:t>
        </x:is>
      </x:c>
      <x:c r="E1" s="17" t="inlineStr">
        <x:is>
          <x:t xml:space="preserve">Allow_Split_If_Required</x:t>
        </x:is>
      </x:c>
      <x:c r="F1" s="17" t="inlineStr">
        <x:is>
          <x:t xml:space="preserve">Hard</x:t>
        </x:is>
      </x:c>
      <x:c r="G1" s="17" t="inlineStr">
        <x:is>
          <x:t xml:space="preserve">Description</x:t>
        </x:is>
      </x:c>
      <x:c r="H1" s="17" t="inlineStr">
        <x:is>
          <x:t xml:space="preserve">Objective_ID</x:t>
        </x:is>
      </x:c>
    </x:row>
    <x:row r="2" ht="51" customHeight="1">
      <x:c r="A2" s="25" t="inlineStr">
        <x:is>
          <x:t xml:space="preserve">AL001</x:t>
        </x:is>
      </x:c>
      <x:c r="B2" s="25" t="inlineStr">
        <x:is>
          <x:t xml:space="preserve">ALL_PRODUCTS</x:t>
        </x:is>
      </x:c>
      <x:c r="C2" s="24" t="n">
        <x:v>1</x:v>
      </x:c>
      <x:c r="D2" s="24" t="n">
        <x:v>1</x:v>
      </x:c>
      <x:c r="E2" s="24" t="n">
        <x:v>1</x:v>
      </x:c>
      <x:c r="F2" s="24" t="n">
        <x:v>0</x:v>
      </x:c>
      <x:c r="G2" s="27" t="inlineStr">
        <x:is>
          <x:t xml:space="preserve">Soft tie-break only: not a hard constraint and never overrides transition count, tonnage, or preparation.</x:t>
        </x:is>
      </x:c>
      <x:c r="H2" s="25" t="inlineStr">
        <x:is>
          <x:t xml:space="preserve">MIN_PRODUCT_MACHINE_SPLITS</x:t>
        </x:is>
      </x:c>
    </x:row>
    <x:row r="3" ht="36" customHeight="1">
      <x:c r="A3" s="25" t="inlineStr">
        <x:is>
          <x:t xml:space="preserve">AL003</x:t>
        </x:is>
      </x:c>
      <x:c r="B3" s="25" t="inlineStr">
        <x:is>
          <x:t xml:space="preserve">ALL_FAMILIES</x:t>
        </x:is>
      </x:c>
      <x:c r="C3" s="24" t="n">
        <x:v>1</x:v>
      </x:c>
      <x:c r="D3" s="24" t="n">
        <x:v>1</x:v>
      </x:c>
      <x:c r="E3" s="24" t="n">
        <x:v>1</x:v>
      </x:c>
      <x:c r="F3" s="24" t="n">
        <x:v>0</x:v>
      </x:c>
      <x:c r="G3" s="27" t="inlineStr">
        <x:is>
          <x:t xml:space="preserve">Soft tie-break only: evaluated after transition count, tonnage, preparation and product split.</x:t>
        </x:is>
      </x:c>
      <x:c r="H3" s="25" t="inlineStr">
        <x:is>
          <x:t xml:space="preserve">MIN_FAMILY_MACHINE_SPLITS</x:t>
        </x:is>
      </x:c>
    </x:row>
  </x:sheetData>
  <x:dataValidations count="4">
    <x:dataValidation type="list" allowBlank="0" showDropDown="0" showInputMessage="0" showErrorMessage="1" errorTitle="Invalid input" error="Choose a value from the list." sqref="B2:B1001">
      <x:formula1>"ALL_PRODUCTS,ALL_FAMILIES"</x:formula1>
    </x:dataValidation>
    <x:dataValidation type="list" allowBlank="0" showDropDown="0" showInputMessage="0" showErrorMessage="1" errorTitle="Invalid input" error="Choose a value from the list." sqref="C2:C1001 E2:F1001">
      <x:formula1>"0,1"</x:formula1>
    </x:dataValidation>
    <x:dataValidation type="whole" operator="greaterThanOrEqual" allowBlank="0" showDropDown="0" showInputMessage="0" showErrorMessage="1" errorTitle="Invalid numeric input" error="Enter a valid nonnegative number or a value within the allowed limits." sqref="D2:D1001">
      <x:formula1>1</x:formula1>
    </x:dataValidation>
    <x:dataValidation type="list" allowBlank="0" showDropDown="0" showInputMessage="0" showErrorMessage="1" errorTitle="Invalid input" error="Choose a value from the list." sqref="H2:H1001">
      <x:formula1>Objective_IDs</x:formula1>
    </x:dataValidation>
  </x:dataValidation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baseColWidth="8" defaultRowHeight="14.5"/>
  <x:cols>
    <x:col min="1" max="1" width="14" customWidth="1"/>
    <x:col min="2" max="2" width="24" customWidth="1"/>
    <x:col min="3" max="4" width="20" customWidth="1"/>
    <x:col min="4" max="4" width="21" customWidth="1"/>
  </x:cols>
  <x:sheetData>
    <x:row r="1" ht="29" customHeight="1">
      <x:c r="A1" s="17" t="inlineStr">
        <x:is>
          <x:t xml:space="preserve">Machine_ID</x:t>
        </x:is>
      </x:c>
      <x:c r="B1" s="17" t="inlineStr">
        <x:is>
          <x:t xml:space="preserve">Current_Product_ID</x:t>
        </x:is>
      </x:c>
      <x:c r="C1" s="17" t="inlineStr">
        <x:is>
          <x:t xml:space="preserve">Run_Produced_t</x:t>
        </x:is>
      </x:c>
      <x:c r="D1" s="17" t="inlineStr">
        <x:is>
          <x:t xml:space="preserve">Setup_Completed</x:t>
        </x:is>
      </x:c>
    </x:row>
    <x:row r="2" ht="23" customHeight="1">
      <x:c r="A2" s="18" t="inlineStr">
        <x:is>
          <x:t xml:space="preserve">M001</x:t>
        </x:is>
      </x:c>
      <x:c r="B2" s="18" t="n"/>
      <x:c r="C2" s="19" t="n">
        <x:v>0</x:v>
      </x:c>
      <x:c r="D2" s="19" t="n">
        <x:v>0</x:v>
      </x:c>
    </x:row>
    <x:row r="3" ht="23" customHeight="1">
      <x:c r="A3" s="18" t="inlineStr">
        <x:is>
          <x:t xml:space="preserve">M002</x:t>
        </x:is>
      </x:c>
      <x:c r="B3" s="18" t="n"/>
      <x:c r="C3" s="19" t="n">
        <x:v>0</x:v>
      </x:c>
      <x:c r="D3" s="19" t="n">
        <x:v>0</x:v>
      </x:c>
    </x:row>
    <x:row r="4" ht="23" customHeight="1">
      <x:c r="A4" s="18" t="inlineStr">
        <x:is>
          <x:t xml:space="preserve">M003</x:t>
        </x:is>
      </x:c>
      <x:c r="B4" s="18" t="n"/>
      <x:c r="C4" s="19" t="n">
        <x:v>0</x:v>
      </x:c>
      <x:c r="D4" s="19" t="n">
        <x:v>0</x:v>
      </x:c>
    </x:row>
    <x:row r="5" ht="23" customHeight="1">
      <x:c r="A5" s="18" t="inlineStr">
        <x:is>
          <x:t xml:space="preserve">M004</x:t>
        </x:is>
      </x:c>
      <x:c r="B5" s="18" t="n"/>
      <x:c r="C5" s="19" t="n">
        <x:v>0</x:v>
      </x:c>
      <x:c r="D5" s="19" t="n">
        <x:v>0</x:v>
      </x:c>
    </x:row>
    <x:row r="6" ht="23" customHeight="1">
      <x:c r="A6" s="18" t="inlineStr">
        <x:is>
          <x:t xml:space="preserve">M005</x:t>
        </x:is>
      </x:c>
      <x:c r="B6" s="18" t="n"/>
      <x:c r="C6" s="19" t="n">
        <x:v>0</x:v>
      </x:c>
      <x:c r="D6" s="19" t="n">
        <x:v>0</x:v>
      </x:c>
    </x:row>
  </x:sheetData>
  <x:dataValidations count="4">
    <x:dataValidation type="list" allowBlank="0" showDropDown="0" showInputMessage="0" showErrorMessage="1" errorTitle="Invalid input" error="Choose a value from the list." sqref="A2:A1001">
      <x:formula1>Machine_IDs</x:formula1>
    </x:dataValidation>
    <x:dataValidation type="list" allowBlank="1" showDropDown="0" showInputMessage="0" showErrorMessage="1" errorTitle="Invalid input" error="Choose a value from the list." sqref="B2:B1001">
      <x:formula1>Product_IDs</x:formula1>
    </x:dataValidation>
    <x:dataValidation type="decimal" operator="greaterThanOrEqual" allowBlank="0" showDropDown="0" showInputMessage="0" showErrorMessage="1" errorTitle="Invalid numeric input" error="Enter a valid nonnegative number or a value within the allowed limits." sqref="C2:C1001">
      <x:formula1>0</x:formula1>
    </x:dataValidation>
    <x:dataValidation type="list" allowBlank="0" showDropDown="0" showInputMessage="0" showErrorMessage="1" errorTitle="Invalid input" error="Choose a value from the list." sqref="D2:D1001">
      <x:formula1>"0,1"</x:formula1>
    </x:dataValidation>
  </x:dataValidation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baseColWidth="8" defaultRowHeight="14.5"/>
  <x:cols>
    <x:col min="1" max="1" width="11" customWidth="1"/>
    <x:col min="2" max="2" width="38" customWidth="1"/>
    <x:col min="3" max="3" width="13" customWidth="1"/>
    <x:col min="4" max="4" width="12" customWidth="1"/>
    <x:col min="5" max="5" width="66" customWidth="1"/>
  </x:cols>
  <x:sheetData>
    <x:row r="1" ht="29" customHeight="1">
      <x:c r="A1" s="17" t="inlineStr">
        <x:is>
          <x:t xml:space="preserve">Priority</x:t>
        </x:is>
      </x:c>
      <x:c r="B1" s="17" t="inlineStr">
        <x:is>
          <x:t xml:space="preserve">Objective_ID</x:t>
        </x:is>
      </x:c>
      <x:c r="C1" s="17" t="inlineStr">
        <x:is>
          <x:t xml:space="preserve">Direction</x:t>
        </x:is>
      </x:c>
      <x:c r="D1" s="17" t="inlineStr">
        <x:is>
          <x:t xml:space="preserve">Enabled</x:t>
        </x:is>
      </x:c>
      <x:c r="E1" s="17" t="inlineStr">
        <x:is>
          <x:t xml:space="preserve">Description</x:t>
        </x:is>
      </x:c>
    </x:row>
    <x:row r="2" ht="48" customHeight="1">
      <x:c r="A2" s="21" t="n">
        <x:v>1</x:v>
      </x:c>
      <x:c r="B2" s="28" t="inlineStr">
        <x:is>
          <x:t xml:space="preserve">MIN_CHANGEOVERS</x:t>
        </x:is>
      </x:c>
      <x:c r="C2" s="18" t="inlineStr">
        <x:is>
          <x:t xml:space="preserve">MIN</x:t>
        </x:is>
      </x:c>
      <x:c r="D2" s="19" t="n">
        <x:v>1</x:v>
      </x:c>
      <x:c r="E2" s="32" t="str">
        <x:v>Etkinse ürün değişimlerini azaltır. Amaç sırası Priority ile belirlenir; daha küçük sayı önce çözülür.</x:v>
      </x:c>
    </x:row>
    <x:row r="3" ht="48" customHeight="1">
      <x:c r="A3" s="21" t="n">
        <x:v>2</x:v>
      </x:c>
      <x:c r="B3" s="28" t="inlineStr">
        <x:is>
          <x:t xml:space="preserve">MIN_UNMET</x:t>
        </x:is>
      </x:c>
      <x:c r="C3" s="18" t="inlineStr">
        <x:is>
          <x:t xml:space="preserve">MIN</x:t>
        </x:is>
      </x:c>
      <x:c r="D3" s="19" t="n">
        <x:v>1</x:v>
      </x:c>
      <x:c r="E3" s="32" t="str">
        <x:v>Etkinse TargetPriority=1 grubunun eksik tonunu, sonra 2, 3... gruplarını azaltır. Önceki amaçlar ve zorunlu üretimler korunur.</x:v>
      </x:c>
    </x:row>
    <x:row r="4" ht="48" customHeight="1">
      <x:c r="A4" s="21" t="n">
        <x:v>3</x:v>
      </x:c>
      <x:c r="B4" s="28" t="inlineStr">
        <x:is>
          <x:t xml:space="preserve">MIN_TOTAL_PREPARATION</x:t>
        </x:is>
      </x:c>
      <x:c r="C4" s="18" t="inlineStr">
        <x:is>
          <x:t xml:space="preserve">MIN</x:t>
        </x:is>
      </x:c>
      <x:c r="D4" s="19" t="n">
        <x:v>1</x:v>
      </x:c>
      <x:c r="E4" s="32" t="str">
        <x:v>Etkinse ilk hazırlıklar dahil toplam hazırlık dakikasını azaltır. Enabled=0 ise bu amaç çözülmez.</x:v>
      </x:c>
    </x:row>
    <x:row r="5" ht="48" customHeight="1">
      <x:c r="A5" s="21" t="n">
        <x:v>4</x:v>
      </x:c>
      <x:c r="B5" s="28" t="inlineStr">
        <x:is>
          <x:t xml:space="preserve">MIN_PRODUCT_MACHINE_SPLITS</x:t>
        </x:is>
      </x:c>
      <x:c r="C5" s="18" t="inlineStr">
        <x:is>
          <x:t xml:space="preserve">MIN</x:t>
        </x:is>
      </x:c>
      <x:c r="D5" s="19" t="n">
        <x:v>1</x:v>
      </x:c>
      <x:c r="E5" s="32" t="str">
        <x:v>Etkinse ürün başına birden fazla makine kullanımını azaltır. Önceki amaç değerleri korunur.</x:v>
      </x:c>
    </x:row>
    <x:row r="6" ht="48" customHeight="1">
      <x:c r="A6" s="21" t="n">
        <x:v>5</x:v>
      </x:c>
      <x:c r="B6" s="28" t="inlineStr">
        <x:is>
          <x:t xml:space="preserve">MIN_FAMILY_MACHINE_SPLITS</x:t>
        </x:is>
      </x:c>
      <x:c r="C6" s="18" t="inlineStr">
        <x:is>
          <x:t xml:space="preserve">MIN</x:t>
        </x:is>
      </x:c>
      <x:c r="D6" s="19" t="n">
        <x:v>1</x:v>
      </x:c>
      <x:c r="E6" s="32" t="str">
        <x:v>Etkinse ürün ailesinin farklı makinelere dağılmasını azaltır. Önceki amaç değerleri korunur.</x:v>
      </x:c>
    </x:row>
    <x:row r="7" ht="48" customHeight="1">
      <x:c r="A7" s="21" t="n">
        <x:v>6</x:v>
      </x:c>
      <x:c r="B7" s="28" t="inlineStr">
        <x:is>
          <x:t xml:space="preserve">MIN_MACHINE_PRIORITY_COST</x:t>
        </x:is>
      </x:c>
      <x:c r="C7" s="18" t="inlineStr">
        <x:is>
          <x:t xml:space="preserve">MIN</x:t>
        </x:is>
      </x:c>
      <x:c r="D7" s="19" t="n">
        <x:v>1</x:v>
      </x:c>
      <x:c r="E7" s="32" t="str">
        <x:v>Etkinse machine_product.MachinePriority kaynaklı maliyeti azaltır. Önceki amaç değerleri korunur.</x:v>
      </x:c>
    </x:row>
    <x:row r="8" ht="23" customHeight="1">
      <x:c r="A8" s="18" t="n"/>
      <x:c r="B8" s="18" t="n"/>
      <x:c r="C8" s="18" t="n"/>
      <x:c r="D8" s="18" t="n"/>
      <x:c r="E8" s="18" t="n"/>
    </x:row>
  </x:sheetData>
  <x:dataValidations count="3">
    <x:dataValidation type="whole" operator="greaterThanOrEqual" allowBlank="0" showDropDown="0" showInputMessage="0" showErrorMessage="1" errorTitle="Invalid numeric input" error="Enter a valid nonnegative number or a value within the allowed limits." sqref="A2:A1001">
      <x:formula1>1</x:formula1>
    </x:dataValidation>
    <x:dataValidation type="list" allowBlank="0" showDropDown="0" showInputMessage="0" showErrorMessage="1" errorTitle="Invalid input" error="Choose a value from the list." sqref="C2:C1001">
      <x:formula1>"MIN"</x:formula1>
    </x:dataValidation>
    <x:dataValidation type="list" allowBlank="0" showDropDown="0" showInputMessage="0" showErrorMessage="1" errorTitle="Invalid input" error="Choose a value from the list." sqref="D2:D1001">
      <x:formula1>"0,1"</x:formula1>
    </x:dataValidation>
  </x:dataValidation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baseColWidth="8" defaultRowHeight="14.5"/>
  <x:cols>
    <x:col min="1" max="1" width="43" customWidth="1"/>
    <x:col min="2" max="2" width="28" customWidth="1"/>
    <x:col min="3" max="3" width="68" customWidth="1"/>
  </x:cols>
  <x:sheetData>
    <x:row r="1" ht="29" customHeight="1">
      <x:c r="A1" s="17" t="inlineStr">
        <x:is>
          <x:t xml:space="preserve">Parameter</x:t>
        </x:is>
      </x:c>
      <x:c r="B1" s="17" t="inlineStr">
        <x:is>
          <x:t xml:space="preserve">Value</x:t>
        </x:is>
      </x:c>
      <x:c r="C1" s="17" t="inlineStr">
        <x:is>
          <x:t xml:space="preserve">Description</x:t>
        </x:is>
      </x:c>
    </x:row>
    <x:row r="2" ht="51" customHeight="1">
      <x:c r="A2" s="18" t="inlineStr">
        <x:is>
          <x:t xml:space="preserve">SchemaVersion</x:t>
        </x:is>
      </x:c>
      <x:c r="B2" s="18" t="str">
        <x:v>6.1</x:v>
      </x:c>
      <x:c r="C2" s="32" t="str">
        <x:v>Schema 6.1: Excel amaç sırası, TargetPriority grupları ve çözümsüzlük tanısı desteklenir. Bu dosya V6.4 motoru gerektirir.</x:v>
      </x:c>
    </x:row>
    <x:row r="3" ht="51" customHeight="1">
      <x:c r="A3" s="18" t="inlineStr">
        <x:is>
          <x:t xml:space="preserve">ShiftHours</x:t>
        </x:is>
      </x:c>
      <x:c r="B3" s="19" t="n">
        <x:v>4</x:v>
      </x:c>
      <x:c r="C3" s="32" t="inlineStr">
        <x:is>
          <x:t xml:space="preserve">Standard shift length in hours. calendar.Hours is authoritative for each machine/day/shift; this is a default when generating calendar rows.</x:t>
        </x:is>
      </x:c>
    </x:row>
    <x:row r="4" ht="51" customHeight="1">
      <x:c r="A4" s="18" t="inlineStr">
        <x:is>
          <x:t xml:space="preserve">DefaultPreparationMin</x:t>
        </x:is>
      </x:c>
      <x:c r="B4" s="21" t="n">
        <x:v>40</x:v>
      </x:c>
      <x:c r="C4" s="32" t="inlineStr">
        <x:is>
          <x:t xml:space="preserve">If machine_product.Preparation_min is blank, use 40 minutes. Initial setup and each product change consume preparation; same-product continuation consumes zero.</x:t>
        </x:is>
      </x:c>
    </x:row>
    <x:row r="5" ht="36" customHeight="1">
      <x:c r="A5" s="18" t="inlineStr">
        <x:is>
          <x:t xml:space="preserve">MaxPlanningDays</x:t>
        </x:is>
      </x:c>
      <x:c r="B5" s="19" t="n">
        <x:v>6</x:v>
      </x:c>
      <x:c r="C5" s="32" t="inlineStr">
        <x:is>
          <x:t xml:space="preserve">Calendar planning horizon in days. Day-n labels are sorted by numeric n, not lexically.</x:t>
        </x:is>
      </x:c>
    </x:row>
    <x:row r="6" ht="51" customHeight="1">
      <x:c r="A6" s="18" t="inlineStr">
        <x:is>
          <x:t xml:space="preserve">AllowFinalRunBelowMinimum</x:t>
        </x:is>
      </x:c>
      <x:c r="B6" s="19" t="n">
        <x:v>1</x:v>
      </x:c>
      <x:c r="C6" s="32" t="inlineStr">
        <x:is>
          <x:t xml:space="preserve">Allow a below-minimum final run only when remaining target is below MinRun_t and that run completes the remaining target. Lack of capacity alone is not an exception.</x:t>
        </x:is>
      </x:c>
    </x:row>
    <x:row r="7" ht="36" customHeight="1">
      <x:c r="A7" s="18" t="inlineStr">
        <x:is>
          <x:t xml:space="preserve">AllowSurplusProduction</x:t>
        </x:is>
      </x:c>
      <x:c r="B7" s="19" t="n">
        <x:v>0</x:v>
      </x:c>
      <x:c r="C7" s="32" t="inlineStr">
        <x:is>
          <x:t xml:space="preserve">0 = no product may be scheduled above its target. The surplus objective has no effect while this hard prohibition is active.</x:t>
        </x:is>
      </x:c>
    </x:row>
    <x:row r="8" ht="51" customHeight="1">
      <x:c r="A8" s="18" t="inlineStr">
        <x:is>
          <x:t xml:space="preserve">PreventProductReturn</x:t>
        </x:is>
      </x:c>
      <x:c r="B8" s="19" t="n">
        <x:v>1</x:v>
      </x:c>
      <x:c r="C8" s="32" t="inlineStr">
        <x:is>
          <x:t xml:space="preserve">HARD: forbid A-B-A on the same machine throughout the horizon. Ignore idle shifts when checking the product sequence; do not reset on calendar closure.</x:t>
        </x:is>
      </x:c>
    </x:row>
    <x:row r="9" ht="51" customHeight="1">
      <x:c r="A9" s="18" t="inlineStr">
        <x:is>
          <x:t xml:space="preserve">PreferContinuousProduction</x:t>
        </x:is>
      </x:c>
      <x:c r="B9" s="19" t="n">
        <x:v>1</x:v>
      </x:c>
      <x:c r="C9" s="32" t="inlineStr">
        <x:is>
          <x:t xml:space="preserve">Prefer consecutive continuation of the same production run. A soft construction/tie-break preference; never override objectives or hard limits.</x:t>
        </x:is>
      </x:c>
    </x:row>
    <x:row r="10" ht="51" customHeight="1">
      <x:c r="A10" s="18" t="inlineStr">
        <x:is>
          <x:t xml:space="preserve">CriticalProductFirst</x:t>
        </x:is>
      </x:c>
      <x:c r="B10" s="19" t="n">
        <x:v>1</x:v>
      </x:c>
      <x:c r="C10" s="32" t="inlineStr">
        <x:is>
          <x:t xml:space="preserve">Constructive heuristic preference: schedule products with fewer eligible machines first. This is a search heuristic, not an extra objective priority.</x:t>
        </x:is>
      </x:c>
    </x:row>
    <x:row r="11" ht="62" customHeight="1">
      <x:c r="A11" s="18" t="inlineStr">
        <x:is>
          <x:t xml:space="preserve">ObjectiveMode</x:t>
        </x:is>
      </x:c>
      <x:c r="B11" s="28" t="str">
        <x:v>LEXICOGRAPHIC_EXCEL</x:v>
      </x:c>
      <x:c r="C11" s="32" t="str">
        <x:v>Enabled=1 olan amaçlar objectives.Priority artan sırayla çözülür. Önceki amaçların en iyi bulunan değerleri sonraki aşamalarda korunur. Süre sınırı optimumluk kanıtı değildir.</x:v>
      </x:c>
    </x:row>
    <x:row r="12" ht="36" customHeight="1">
      <x:c r="A12" s="18" t="inlineStr">
        <x:is>
          <x:t xml:space="preserve">UnmetTolerance_t</x:t>
        </x:is>
      </x:c>
      <x:c r="B12" s="21" t="n">
        <x:v>0</x:v>
      </x:c>
      <x:c r="C12" s="32" t="inlineStr">
        <x:is>
          <x:t xml:space="preserve">Legacy dashboard KPI only; there is no global minimum production or frozen total unmet limit in the changeover-first model.</x:t>
        </x:is>
      </x:c>
    </x:row>
    <x:row r="13" ht="36" customHeight="1">
      <x:c r="A13" s="18" t="inlineStr">
        <x:is>
          <x:t xml:space="preserve">UnmetToleranceScope</x:t>
        </x:is>
      </x:c>
      <x:c r="B13" s="18" t="inlineStr">
        <x:is>
          <x:t xml:space="preserve">TOTAL_PLAN</x:t>
        </x:is>
      </x:c>
      <x:c r="C13" s="32" t="inlineStr">
        <x:is>
          <x:t xml:space="preserve">Legacy parameter retained for input compatibility; individual product minimums are enforced by MinRequired_pct.</x:t>
        </x:is>
      </x:c>
    </x:row>
    <x:row r="14" ht="66" customHeight="1">
      <x:c r="A14" s="18" t="inlineStr">
        <x:is>
          <x:t xml:space="preserve">UnmetReferenceMode</x:t>
        </x:is>
      </x:c>
      <x:c r="B14" s="18" t="inlineStr">
        <x:is>
          <x:t xml:space="preserve">BEST_FOUND_BASELINE</x:t>
        </x:is>
      </x:c>
      <x:c r="C14" s="32" t="inlineStr">
        <x:is>
          <x:t xml:space="preserve">Legacy parameter retained for input compatibility; no frozen global production threshold is imposed.</x:t>
        </x:is>
      </x:c>
    </x:row>
    <x:row r="15" ht="51" customHeight="1">
      <x:c r="A15" s="18" t="inlineStr">
        <x:is>
          <x:t xml:space="preserve">CountCrossDayChangeovers</x:t>
        </x:is>
      </x:c>
      <x:c r="B15" s="19" t="n">
        <x:v>1</x:v>
      </x:c>
      <x:c r="C15" s="32" t="inlineStr">
        <x:is>
          <x:t xml:space="preserve">Include the transition from the previous day or the last non-idle product. Daily numeric limits are defined ONLY in changeover_rules.</x:t>
        </x:is>
      </x:c>
    </x:row>
    <x:row r="16" ht="36" customHeight="1">
      <x:c r="A16" s="18" t="inlineStr">
        <x:is>
          <x:t xml:space="preserve">ChangeoverAttribution</x:t>
        </x:is>
      </x:c>
      <x:c r="B16" s="18" t="inlineStr">
        <x:is>
          <x:t xml:space="preserve">NEW_PRODUCT_START_DAY</x:t>
        </x:is>
      </x:c>
      <x:c r="C16" s="32" t="inlineStr">
        <x:is>
          <x:t xml:space="preserve">Charge a product transition to the day on which the new product starts, not to the day on which the old product ended.</x:t>
        </x:is>
      </x:c>
    </x:row>
    <x:row r="17" ht="51" customHeight="1">
      <x:c r="A17" s="18" t="inlineStr">
        <x:is>
          <x:t xml:space="preserve">CountInitialSetupAsChangeover</x:t>
        </x:is>
      </x:c>
      <x:c r="B17" s="19" t="n">
        <x:v>0</x:v>
      </x:c>
      <x:c r="C17" s="32" t="inlineStr">
        <x:is>
          <x:t xml:space="preserve">Empty initial machine -&gt; first product is a setup, not a changeover. A known initial product -&gt; a different product IS a changeover. Both may consume preparation time.</x:t>
        </x:is>
      </x:c>
    </x:row>
    <x:row r="18" ht="51" customHeight="1">
      <x:c r="A18" s="18" t="inlineStr">
        <x:is>
          <x:t xml:space="preserve">IdleResetsProductState</x:t>
        </x:is>
      </x:c>
      <x:c r="B18" s="19" t="n">
        <x:v>0</x:v>
      </x:c>
      <x:c r="C18" s="32" t="inlineStr">
        <x:is>
          <x:t xml:space="preserve">Idle, closed or general-cleaning shifts do not erase the last-product state or the no-return history. No implicit cleaning-reset rule is assumed.</x:t>
        </x:is>
      </x:c>
    </x:row>
    <x:row r="19" ht="51" customHeight="1">
      <x:c r="A19" s="18" t="inlineStr">
        <x:is>
          <x:t xml:space="preserve">SequenceRuleSource</x:t>
        </x:is>
      </x:c>
      <x:c r="B19" s="28" t="inlineStr">
        <x:is>
          <x:t xml:space="preserve">sequence_rules</x:t>
        </x:is>
      </x:c>
      <x:c r="C19" s="32" t="inlineStr">
        <x:is>
          <x:t xml:space="preserve">Same-machine precedence applies only to eligible shared machines; no useless ordering pair required when the products have no shared eligible machine.</x:t>
        </x:is>
      </x:c>
    </x:row>
    <x:row r="20" ht="36" customHeight="1">
      <x:c r="A20" s="18" t="inlineStr">
        <x:is>
          <x:t xml:space="preserve">SequenceConflictPolicy</x:t>
        </x:is>
      </x:c>
      <x:c r="B20" s="18" t="inlineStr">
        <x:is>
          <x:t xml:space="preserve">ERROR</x:t>
        </x:is>
      </x:c>
      <x:c r="C20" s="32" t="inlineStr">
        <x:is>
          <x:t xml:space="preserve">Reject cycles, contradictory pairs and same-family Sequence_Order inconsistencies. Do not silently choose one conflicting source.</x:t>
        </x:is>
      </x:c>
    </x:row>
    <x:row r="21" ht="36" customHeight="1">
      <x:c r="A21" s="18" t="inlineStr">
        <x:is>
          <x:t xml:space="preserve">OptimizationMode</x:t>
        </x:is>
      </x:c>
      <x:c r="B21" s="18" t="inlineStr">
        <x:is>
          <x:t xml:space="preserve">HYBRID</x:t>
        </x:is>
      </x:c>
      <x:c r="C21" s="32" t="inlineStr">
        <x:is>
          <x:t xml:space="preserve">Hybrid: unique constructive heuristic schedules, transition-first MILP, then fixed-assignment re-sequencing.</x:t>
        </x:is>
      </x:c>
    </x:row>
    <x:row r="22" ht="36" customHeight="1">
      <x:c r="A22" s="18" t="inlineStr">
        <x:is>
          <x:t xml:space="preserve">HeuristicTrials</x:t>
        </x:is>
      </x:c>
      <x:c r="B22" s="21" t="n">
        <x:v>600000</x:v>
      </x:c>
      <x:c r="C22" s="32" t="inlineStr">
        <x:is>
          <x:t xml:space="preserve">Number of unique heuristic plans; repeated assignment + 0.01 t rounded quantity signatures are skipped and resampled.</x:t>
        </x:is>
      </x:c>
    </x:row>
    <x:row r="23" ht="36" customHeight="1">
      <x:c r="A23" s="18" t="inlineStr">
        <x:is>
          <x:t xml:space="preserve">MILPPolishTimeSec</x:t>
        </x:is>
      </x:c>
      <x:c r="B23" s="21" t="n">
        <x:v>90</x:v>
      </x:c>
      <x:c r="C23" s="32" t="str">
        <x:v>MILP-1 toplam çözücü süresi (saniye). Etkin amaçlar ve TargetPriority grupları ayrı aşamalarda çözülür; süre kalan aşamalar arasında paylaşılır.</x:v>
      </x:c>
    </x:row>
    <x:row r="24" ht="51" customHeight="1">
      <x:c r="A24" s="18" t="inlineStr">
        <x:is>
          <x:t xml:space="preserve">MILPNeighborhoodMode</x:t>
        </x:is>
      </x:c>
      <x:c r="B24" s="18" t="inlineStr">
        <x:is>
          <x:t xml:space="preserve">REALLOCATION_AND_RESEQUENCING</x:t>
        </x:is>
      </x:c>
      <x:c r="C24" s="32" t="inlineStr">
        <x:is>
          <x:t xml:space="preserve">Allow eligible machine-product assignments, product order and quantities to change. Do not freeze the heuristic topology. Keep the best valid candidate under the same comparison policy.</x:t>
        </x:is>
      </x:c>
    </x:row>
    <x:row r="25" ht="51" customHeight="1">
      <x:c r="A25" s="18" t="inlineStr">
        <x:is>
          <x:t xml:space="preserve">RuntimeLogging</x:t>
        </x:is>
      </x:c>
      <x:c r="B25" s="19" t="n">
        <x:v>1</x:v>
      </x:c>
      <x:c r="C25" s="32" t="inlineStr">
        <x:is>
          <x:t xml:space="preserve">Log heuristic, MILP model build, MILP solve, validation, Excel I/O and total wall-clock runtime. Also record solver status, bound/gap if available and actual attempts.</x:t>
        </x:is>
      </x:c>
    </x:row>
    <x:row r="26" ht="51" customHeight="1">
      <x:c r="A26" s="18" t="inlineStr">
        <x:is>
          <x:t xml:space="preserve">InputValidation</x:t>
        </x:is>
      </x:c>
      <x:c r="B26" s="18" t="inlineStr">
        <x:is>
          <x:t xml:space="preserve">STRICT</x:t>
        </x:is>
      </x:c>
      <x:c r="C26" s="32" t="inlineStr">
        <x:is>
          <x:t xml:space="preserve">Reject duplicate keys, invalid references, missing required values, invalid numbers, calendar conflicts and inconsistent rule sources before optimization.</x:t>
        </x:is>
      </x:c>
    </x:row>
    <x:row r="27" ht="51" customHeight="1">
      <x:c r="A27" s="18" t="inlineStr">
        <x:is>
          <x:t xml:space="preserve">UnknownParameterPolicy</x:t>
        </x:is>
      </x:c>
      <x:c r="B27" s="18" t="inlineStr">
        <x:is>
          <x:t xml:space="preserve">ERROR</x:t>
        </x:is>
      </x:c>
      <x:c r="C27" s="32" t="inlineStr">
        <x:is>
          <x:t xml:space="preserve">Reject unsupported parameters, scopes and objective IDs. This workbook defines inputs; it does not itself implement or execute the scheduling algorithm.</x:t>
        </x:is>
      </x:c>
    </x:row>
    <x:row r="28" ht="36" customHeight="1">
      <x:c r="A28" s="18" t="inlineStr">
        <x:is>
          <x:t xml:space="preserve">RandomSeed</x:t>
        </x:is>
      </x:c>
      <x:c r="B28" s="21" t="n">
        <x:v>20261008</x:v>
      </x:c>
      <x:c r="C28" s="32" t="inlineStr">
        <x:is>
          <x:t xml:space="preserve">Fixed seed for reproducible comparison; set 0 to draw a new random seed each run.</x:t>
        </x:is>
      </x:c>
    </x:row>
    <x:row r="29" ht="36" customHeight="1">
      <x:c r="A29" s="25" t="inlineStr">
        <x:is>
          <x:t xml:space="preserve">SecondMILPTimeSec</x:t>
        </x:is>
      </x:c>
      <x:c r="B29" s="21" t="n">
        <x:v>165</x:v>
      </x:c>
      <x:c r="C29" s="33" t="str">
        <x:v>MILP-2 toplam süresi (saniye). Sabit makine-ürün atamalarında aynı Excel amaç sırası ve hedef öncelikleri kullanılır.</x:v>
      </x:c>
    </x:row>
    <x:row r="30" ht="62" customHeight="1">
      <x:c r="A30" s="25" t="str">
        <x:v>TargetPriorityMode</x:v>
      </x:c>
      <x:c r="B30" s="21" t="str">
        <x:v>LEXICOGRAPHIC</x:v>
      </x:c>
      <x:c r="C30" s="33" t="str">
        <x:v>MIN_UNMET aşamasında targets.TargetPriority artan sırayla ele alınır: 1 en yüksek önceliktir. Aynı grupta eksik ton toplamı azaltılır; HARD hedefler ve ürün minimumları her aşamada zorunludur. MIN_UNMET kapalıysa hedef önceliği optimize edilmez.</x:v>
      </x:c>
    </x:row>
    <x:row r="31" ht="62" customHeight="1">
      <x:c r="A31" s="25" t="str">
        <x:v>ObjectiveLockTolerance</x:v>
      </x:c>
      <x:c r="B31" s="21" t="n">
        <x:v>0.000001</x:v>
      </x:c>
      <x:c r="C31" s="33" t="str">
        <x:v>Sürekli amaçların korunmasında mutlak sayısal tolerans; amaç birimi kullanılır (ton, dakika veya öncelik maliyeti). Tam sayı amaçlar kesin korunur. Desteklenen aralık: 1e-9 ile 1e-5.</x:v>
      </x:c>
    </x:row>
    <x:row r="32" ht="62" customHeight="1">
      <x:c r="A32" s="25" t="str">
        <x:v>InfeasibilityDiagnostics</x:v>
      </x:c>
      <x:c r="B32" s="21" t="n">
        <x:v>1</x:v>
      </x:c>
      <x:c r="C32" s="33" t="str">
        <x:v>1: Çözümsüzlük kanıtlanırsa mümkün nedenleri araştırır. Gevşetme denemeleri yalnız tanı içindir; üretim sonucu olarak verilmez. Süre dolması çözümsüzlük olarak raporlanmaz.</x:v>
      </x:c>
    </x:row>
    <x:row r="33" ht="62" customHeight="1">
      <x:c r="A33" s="25" t="str">
        <x:v>DiagnosticTimeSec</x:v>
      </x:c>
      <x:c r="B33" s="21" t="n">
        <x:v>20</x:v>
      </x:c>
      <x:c r="C33" s="33" t="str">
        <x:v>Kanıtlanmış çözümsüzlük sonrasında ek tanı için toplam saniye. MILP-1 ve MILP-2 bütçelerinden ayrıdır. 0: ek çözücü denemeleri kapalıdır; kesin kapasite kontrolleri devam eder.</x:v>
      </x:c>
    </x:row>
  </x:sheetData>
  <x:dataValidations count="18">
    <x:dataValidation type="list" allowBlank="0" showDropDown="0" showInputMessage="0" showErrorMessage="1" errorTitle="Invalid input" error="Choose a value from the list." sqref="B6:B10 B15 B17:B18 B25">
      <x:formula1>"0,1"</x:formula1>
    </x:dataValidation>
    <x:dataValidation type="decimal" operator="greaterThanOrEqual" allowBlank="0" showDropDown="0" showInputMessage="0" showErrorMessage="1" errorTitle="Invalid numeric input" error="Enter a valid nonnegative number or a value within the allowed limits." sqref="B4 B12">
      <x:formula1>0</x:formula1>
    </x:dataValidation>
    <x:dataValidation type="whole" operator="greaterThanOrEqual" allowBlank="0" showDropDown="0" showInputMessage="0" showErrorMessage="1" errorTitle="Invalid numeric input" error="Enter a valid nonnegative number or a value within the allowed limits." sqref="B5 B22">
      <x:formula1>1</x:formula1>
    </x:dataValidation>
    <x:dataValidation type="decimal" operator="greaterThanOrEqual" allowBlank="0" showDropDown="0" showInputMessage="0" showErrorMessage="1" errorTitle="Invalid numeric input" error="Enter a valid nonnegative number or a value within the allowed limits." sqref="B3 B23">
      <x:formula1>0.001</x:formula1>
    </x:dataValidation>
    <x:dataValidation type="list" allowBlank="0" showDropDown="0" showInputMessage="0" showErrorMessage="1" errorTitle="Invalid input" error="Choose a value from the list." sqref="B13">
      <x:formula1>"TOTAL_PLAN"</x:formula1>
    </x:dataValidation>
    <x:dataValidation type="list" allowBlank="0" showDropDown="0" showInputMessage="0" showErrorMessage="1" errorTitle="Invalid input" error="Choose a value from the list." sqref="B14">
      <x:formula1>"BEST_FOUND_BASELINE"</x:formula1>
    </x:dataValidation>
    <x:dataValidation type="list" allowBlank="0" showDropDown="0" showInputMessage="0" showErrorMessage="1" errorTitle="Invalid input" error="Choose a value from the list." sqref="B16">
      <x:formula1>"NEW_PRODUCT_START_DAY"</x:formula1>
    </x:dataValidation>
    <x:dataValidation type="list" allowBlank="0" showDropDown="0" showInputMessage="0" showErrorMessage="1" errorTitle="Invalid input" error="Choose a value from the list." sqref="B19">
      <x:formula1>"sequence_rules"</x:formula1>
    </x:dataValidation>
    <x:dataValidation type="list" allowBlank="0" showDropDown="0" showInputMessage="0" showErrorMessage="1" errorTitle="Invalid input" error="Choose a value from the list." sqref="B20 B27">
      <x:formula1>"ERROR"</x:formula1>
    </x:dataValidation>
    <x:dataValidation type="list" allowBlank="0" showDropDown="0" showInputMessage="0" showErrorMessage="1" errorTitle="Invalid input" error="Choose a value from the list." sqref="B21">
      <x:formula1>"HYBRID"</x:formula1>
    </x:dataValidation>
    <x:dataValidation type="list" allowBlank="0" showDropDown="0" showInputMessage="0" showErrorMessage="1" errorTitle="Invalid input" error="Choose a value from the list." sqref="B24">
      <x:formula1>"REALLOCATION_AND_RESEQUENCING"</x:formula1>
    </x:dataValidation>
    <x:dataValidation type="list" allowBlank="0" showDropDown="0" showInputMessage="0" showErrorMessage="1" errorTitle="Invalid input" error="Choose a value from the list." sqref="B26">
      <x:formula1>"STRICT"</x:formula1>
    </x:dataValidation>
    <x:dataValidation type="list" sqref="B2">
      <x:formula1>"6.1"</x:formula1>
    </x:dataValidation>
    <x:dataValidation type="list" sqref="B11">
      <x:formula1>"LEXICOGRAPHIC_EXCEL"</x:formula1>
    </x:dataValidation>
    <x:dataValidation type="list" sqref="B30">
      <x:formula1>"LEXICOGRAPHIC"</x:formula1>
    </x:dataValidation>
    <x:dataValidation type="decimal" operator="between" sqref="B31">
      <x:formula1>1e-9</x:formula1>
      <x:formula2>0.00001</x:formula2>
    </x:dataValidation>
    <x:dataValidation type="list" sqref="B32">
      <x:formula1>"0,1"</x:formula1>
    </x:dataValidation>
    <x:dataValidation type="decimal" operator="greaterThanOrEqual" sqref="B33">
      <x:formula1>0</x:formula1>
    </x:dataValidation>
  </x:dataValidations>
  <x:pageMargins left="0.7" right="0.7" top="0.75" bottom="0.75" header="0.3" footer="0.3"/>
</x:worksheet>
</file>