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tables/table5.xml" ContentType="application/vnd.openxmlformats-officedocument.spreadsheetml.table+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200" windowHeight="6930" tabRatio="600" firstSheet="1" activeTab="5" autoFilterDateGrouping="1"/>
  </bookViews>
  <sheets>
    <sheet xmlns:r="http://schemas.openxmlformats.org/officeDocument/2006/relationships" name="products" sheetId="1" state="visible" r:id="rId1"/>
    <sheet xmlns:r="http://schemas.openxmlformats.org/officeDocument/2006/relationships" name="machines" sheetId="2" state="visible" r:id="rId2"/>
    <sheet xmlns:r="http://schemas.openxmlformats.org/officeDocument/2006/relationships" name="machine_product" sheetId="3" state="visible" r:id="rId3"/>
    <sheet xmlns:r="http://schemas.openxmlformats.org/officeDocument/2006/relationships" name="targets" sheetId="4" state="visible" r:id="rId4"/>
    <sheet xmlns:r="http://schemas.openxmlformats.org/officeDocument/2006/relationships" name="calendar" sheetId="5" state="visible" r:id="rId5"/>
    <sheet xmlns:r="http://schemas.openxmlformats.org/officeDocument/2006/relationships" name="sequence_rules" sheetId="6" state="visible" r:id="rId6"/>
    <sheet xmlns:r="http://schemas.openxmlformats.org/officeDocument/2006/relationships" name="changeover_rules" sheetId="7" state="visible" r:id="rId7"/>
    <sheet xmlns:r="http://schemas.openxmlformats.org/officeDocument/2006/relationships" name="allocation_rules" sheetId="8" state="visible" r:id="rId8"/>
    <sheet xmlns:r="http://schemas.openxmlformats.org/officeDocument/2006/relationships" name="initial_state" sheetId="9" state="visible" r:id="rId9"/>
    <sheet xmlns:r="http://schemas.openxmlformats.org/officeDocument/2006/relationships" name="objectives" sheetId="10" state="visible" r:id="rId10"/>
    <sheet xmlns:r="http://schemas.openxmlformats.org/officeDocument/2006/relationships" name="settings" sheetId="11" state="visible" r:id="rId11"/>
  </sheets>
  <definedNames>
    <definedName name="Machine_IDs">tblMachines[Machine_ID]</definedName>
    <definedName name="Objective_IDs">#REF!</definedName>
    <definedName name="Product_IDs">tblProducts[Product_ID]</definedName>
    <definedName name="_xlnm.Print_Titles" localSheetId="0">'products'!$1:$1</definedName>
    <definedName name="_xlnm.Print_Area" localSheetId="0">'products'!$A$1:$F$11</definedName>
    <definedName name="_xlnm.Print_Titles" localSheetId="1">'machines'!$1:$1</definedName>
    <definedName name="_xlnm.Print_Area" localSheetId="1">'machines'!$A$1:$D$6</definedName>
    <definedName name="_xlnm.Print_Titles" localSheetId="2">'machine_product'!$1:$1</definedName>
    <definedName name="_xlnm.Print_Area" localSheetId="2">'machine_product'!$A$1:$H$51</definedName>
    <definedName name="_xlnm._FilterDatabase" localSheetId="3" hidden="1">'targets'!$A$1:$E$11</definedName>
    <definedName name="_xlnm.Print_Titles" localSheetId="3">'targets'!$1:$1</definedName>
    <definedName name="_xlnm.Print_Area" localSheetId="3">'targets'!$A$1:$E$11</definedName>
    <definedName name="_xlnm.Print_Titles" localSheetId="4">'calendar'!$1:$1</definedName>
    <definedName name="_xlnm.Print_Area" localSheetId="4">'calendar'!$A$1:$F$61</definedName>
    <definedName name="_xlnm._FilterDatabase" localSheetId="5" hidden="1">'sequence_rules'!$A$1:$F$4</definedName>
    <definedName name="_xlnm.Print_Titles" localSheetId="5">'sequence_rules'!$1:$1</definedName>
    <definedName name="_xlnm.Print_Area" localSheetId="5">'sequence_rules'!$A$1:$F$4</definedName>
    <definedName name="_xlnm._FilterDatabase" localSheetId="6" hidden="1">'changeover_rules'!$A$1:$F$2</definedName>
    <definedName name="_xlnm.Print_Titles" localSheetId="6">'changeover_rules'!$1:$1</definedName>
    <definedName name="_xlnm.Print_Area" localSheetId="6">'changeover_rules'!$A$1:$F$2</definedName>
    <definedName name="_xlnm._FilterDatabase" localSheetId="7" hidden="1">'allocation_rules'!$A$1:$H$3</definedName>
    <definedName name="_xlnm.Print_Titles" localSheetId="7">'allocation_rules'!$1:$1</definedName>
    <definedName name="_xlnm.Print_Area" localSheetId="7">'allocation_rules'!$A$1:$H$3</definedName>
    <definedName name="_xlnm.Print_Titles" localSheetId="8">'initial_state'!$1:$1</definedName>
    <definedName name="_xlnm.Print_Area" localSheetId="8">'initial_state'!$A$1:$D$6</definedName>
    <definedName name="_xlnm._FilterDatabase" localSheetId="9" hidden="1">'objectives'!$A$1:$E$7</definedName>
    <definedName name="_xlnm.Print_Titles" localSheetId="9">'objectives'!$1:$1</definedName>
    <definedName name="_xlnm.Print_Area" localSheetId="9">'objectives'!$A$1:$E$8</definedName>
    <definedName name="_xlnm._FilterDatabase" localSheetId="10" hidden="1">'settings'!$A$1:$C$27</definedName>
    <definedName name="_xlnm.Print_Titles" localSheetId="10">'settings'!$1:$1</definedName>
    <definedName name="_xlnm.Print_Area" localSheetId="10">'settings'!$A$1:$C$27</definedName>
  </definedNames>
  <calcPr calcId="124519" calcMode="auto" fullCalcOnLoad="1" forceFullCalc="1"/>
</workbook>
</file>

<file path=xl/styles.xml><?xml version="1.0" encoding="utf-8"?>
<styleSheet xmlns="http://schemas.openxmlformats.org/spreadsheetml/2006/main">
  <numFmts count="1">
    <numFmt numFmtId="164" formatCode="0.000"/>
  </numFmts>
  <fonts count="9">
    <font>
      <name val="Calibri"/>
      <family val="2"/>
      <color theme="1"/>
      <sz val="11"/>
      <scheme val="minor"/>
    </font>
    <font>
      <name val="Calibri"/>
      <family val="2"/>
      <b val="1"/>
      <color rgb="FFFFFFFF"/>
      <sz val="11"/>
    </font>
    <font>
      <name val="Calibri"/>
      <family val="2"/>
      <color rgb="FF0000FF"/>
      <sz val="11"/>
    </font>
    <font>
      <name val="Calibri"/>
      <family val="2"/>
      <color rgb="FF666666"/>
      <sz val="11"/>
    </font>
    <font>
      <name val="Calibri"/>
      <family val="2"/>
      <b val="1"/>
      <color rgb="FFFFFFFF"/>
      <sz val="11"/>
    </font>
    <font>
      <name val="Calibri"/>
      <color rgb="000000FF"/>
      <sz val="10"/>
    </font>
    <font>
      <b val="1"/>
      <color rgb="007030A0"/>
    </font>
    <font>
      <color rgb="000000FF"/>
    </font>
    <font>
      <name val="Calibri"/>
      <b val="1"/>
      <color rgb="000000FF"/>
    </font>
  </fonts>
  <fills count="6">
    <fill>
      <patternFill/>
    </fill>
    <fill>
      <patternFill patternType="gray125"/>
    </fill>
    <fill>
      <patternFill patternType="solid">
        <fgColor rgb="FF17365D"/>
      </patternFill>
    </fill>
    <fill>
      <patternFill patternType="solid">
        <fgColor rgb="FFE7E6E6"/>
      </patternFill>
    </fill>
    <fill>
      <patternFill patternType="solid">
        <fgColor rgb="FF1F4E78"/>
      </patternFill>
    </fill>
    <fill>
      <patternFill patternType="solid">
        <fgColor rgb="00FFF3CC"/>
      </patternFill>
    </fill>
  </fills>
  <borders count="1">
    <border>
      <left/>
      <right/>
      <top/>
      <bottom/>
      <diagonal/>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center" vertical="center" wrapText="1"/>
    </xf>
    <xf numFmtId="0" fontId="3" fillId="3" borderId="0" applyAlignment="1" pivotButton="0" quotePrefix="0" xfId="0">
      <alignment vertical="center" wrapText="1"/>
    </xf>
    <xf numFmtId="0" fontId="2" fillId="0" borderId="0" applyAlignment="1" pivotButton="0" quotePrefix="0" xfId="0">
      <alignment vertical="center" wrapText="1"/>
    </xf>
    <xf numFmtId="2" fontId="2" fillId="0" borderId="0" applyAlignment="1" pivotButton="0" quotePrefix="0" xfId="0">
      <alignment vertical="center" wrapText="1"/>
    </xf>
    <xf numFmtId="0" fontId="4" fillId="4" borderId="0" applyAlignment="1" pivotButton="0" quotePrefix="0" xfId="0">
      <alignment horizontal="center" vertical="center" wrapText="1"/>
    </xf>
    <xf numFmtId="0" fontId="0" fillId="0"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wrapText="1"/>
    </xf>
    <xf numFmtId="164" fontId="2" fillId="0" borderId="0" applyAlignment="1" pivotButton="0" quotePrefix="0" xfId="0">
      <alignment vertical="center" wrapText="1"/>
    </xf>
    <xf numFmtId="164" fontId="0" fillId="0" borderId="0" pivotButton="0" quotePrefix="0" xfId="0"/>
    <xf numFmtId="0" fontId="5" fillId="0" borderId="0" applyAlignment="1" pivotButton="0" quotePrefix="0" xfId="0">
      <alignment vertical="center" wrapText="1"/>
    </xf>
    <xf numFmtId="0" fontId="6" fillId="0" borderId="0" applyAlignment="1" pivotButton="0" quotePrefix="0" xfId="0">
      <alignment vertical="center" wrapText="1"/>
    </xf>
    <xf numFmtId="0" fontId="7" fillId="0" borderId="0" applyAlignment="1" pivotButton="0" quotePrefix="0" xfId="0">
      <alignment vertical="center" wrapText="1"/>
    </xf>
    <xf numFmtId="0" fontId="5" fillId="0" borderId="0" applyAlignment="1" pivotButton="0" quotePrefix="0" xfId="0">
      <alignment vertical="top" wrapText="1"/>
    </xf>
    <xf numFmtId="0" fontId="5" fillId="0" borderId="0" pivotButton="0" quotePrefix="0" xfId="0"/>
    <xf numFmtId="0" fontId="8" fillId="5" borderId="0" pivotButton="0" quotePrefix="0" xfId="0"/>
  </cellXfs>
  <cellStyles count="1">
    <cellStyle name="Normal" xfId="0" builtinId="0"/>
  </cellStyles>
  <dxfs count="8">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Planning input v6</author>
  </authors>
  <commentList>
    <comment ref="A1" authorId="0" shapeId="0">
      <text>
        <t>Source: production_planning_input_v5_kabak_sequence.xlsx / products. IDs, capacities, quantities and calendar values are retained. TargetMode is the explicit v6 replacement for MustComplete. Read row 1 as column names and table body rows as input records.</t>
      </text>
    </comment>
    <comment ref="E1" authorId="0" shapeId="0">
      <text>
        <t>Sequence rules are authoritative in sequence_rules. Sequence_Order is metadata checked for consistency; lower order precedes higher order within the same Family. Contradictions or missing same-family edges are input errors.</t>
      </text>
    </comment>
  </commentList>
</comments>
</file>

<file path=xl/comments/comment2.xml><?xml version="1.0" encoding="utf-8"?>
<comments xmlns="http://schemas.openxmlformats.org/spreadsheetml/2006/main">
  <authors>
    <author>Planning input v6</author>
  </authors>
  <commentList>
    <comment ref="A1" authorId="0" shapeId="0">
      <text>
        <t>Source: production_planning_input_v5_kabak_sequence.xlsx / machines. IDs, capacities, quantities and calendar values are retained. TargetMode is the explicit v6 replacement for MustComplete. Read row 1 as column names and table body rows as input records.</t>
      </text>
    </comment>
  </commentList>
</comments>
</file>

<file path=xl/comments/comment3.xml><?xml version="1.0" encoding="utf-8"?>
<comments xmlns="http://schemas.openxmlformats.org/spreadsheetml/2006/main">
  <authors>
    <author>Planning input v6</author>
    <author>OpenAI</author>
    <author>V6.3</author>
  </authors>
  <commentList>
    <comment ref="A1" authorId="0" shapeId="0">
      <text>
        <t>Source: production_planning_input_v5_kabak_sequence.xlsx / machine_product. IDs, capacities, quantities and calendar values are retained. TargetMode is the explicit v6 replacement for MustComplete. Read row 1 as column names and table body rows as input records.</t>
      </text>
    </comment>
    <comment ref="D1" authorId="1" shapeId="0">
      <text>
        <t>Product-specific machine priority. 1 = highest priority. Overrides machines.Priority for this product.</t>
      </text>
    </comment>
    <comment ref="F1" authorId="0" shapeId="0">
      <text>
        <t>MinRun_t applies to one uninterrupted product run, possibly spanning multiple days. initial_state.Run_Produced_t counts toward a continuing run minimum, but not toward this horizon target.</t>
      </text>
    </comment>
    <comment ref="G1" authorId="0" shapeId="0">
      <text>
        <t>MaxDaily_t is the TOTAL tonnage over all shifts in one day for THIS machine-product pair, not a per-shift limit.</t>
      </text>
    </comment>
    <comment ref="H1" authorId="2" shapeId="0">
      <text>
        <t>Her yeni urun baslangici veya urun gecisinde 40 dakika; ayni urunun kesintisiz devaminda sifir.</t>
      </text>
    </comment>
  </commentList>
</comments>
</file>

<file path=xl/comments/comment4.xml><?xml version="1.0" encoding="utf-8"?>
<comments xmlns="http://schemas.openxmlformats.org/spreadsheetml/2006/main">
  <authors>
    <author>Planning input v6</author>
  </authors>
  <commentList>
    <comment ref="A1" authorId="0" shapeId="0">
      <text>
        <t>Source: production_planning_input_v5_kabak_sequence.xlsx / targets. IDs, capacities, quantities and calendar values are retained. TargetMode is the explicit v6 replacement for MustComplete. Read row 1 as column names and table body rows as input records.</t>
      </text>
    </comment>
    <comment ref="D1" authorId="0" shapeId="0">
      <text>
        <t>Lower TargetPriority is more urgent. Equal values retain equal importance. TargetPriority governs target service and is distinct from machine priority.</t>
      </text>
    </comment>
    <comment ref="E1" authorId="0" shapeId="0">
      <text>
        <t>v6 replaces MustComplete with TargetMode. SOFT: optimize and report unmet tons. HARD: the product target must be met; do not silently relax it. All current rows are SOFT, as agreed for capacity-constrained planning. Unmet tolerance never relaxes a HARD target.</t>
      </text>
    </comment>
    <comment ref="E2" authorId="0" shapeId="0">
      <text>
        <t>Changed from MustComplete=1 to TargetMode=SOFT in v6. This is an explicit semantic revision, not a claim that the target is already met.</t>
      </text>
    </comment>
    <comment ref="E3" authorId="0" shapeId="0">
      <text>
        <t>Changed from MustComplete=1 to TargetMode=SOFT in v6. This is an explicit semantic revision, not a claim that the target is already met.</t>
      </text>
    </comment>
    <comment ref="E4" authorId="0" shapeId="0">
      <text>
        <t>Changed from MustComplete=1 to TargetMode=SOFT in v6. This is an explicit semantic revision, not a claim that the target is already met.</t>
      </text>
    </comment>
    <comment ref="E5" authorId="0" shapeId="0">
      <text>
        <t>Changed from MustComplete=1 to TargetMode=SOFT in v6. This is an explicit semantic revision, not a claim that the target is already met.</t>
      </text>
    </comment>
    <comment ref="E6" authorId="0" shapeId="0">
      <text>
        <t>Changed from MustComplete=1 to TargetMode=SOFT in v6. This is an explicit semantic revision, not a claim that the target is already met.</t>
      </text>
    </comment>
    <comment ref="E7" authorId="0" shapeId="0">
      <text>
        <t>Changed from MustComplete=1 to TargetMode=SOFT in v6. This is an explicit semantic revision, not a claim that the target is already met.</t>
      </text>
    </comment>
    <comment ref="E8" authorId="0" shapeId="0">
      <text>
        <t>Changed from MustComplete=1 to TargetMode=SOFT in v6. This is an explicit semantic revision, not a claim that the target is already met.</t>
      </text>
    </comment>
    <comment ref="E9" authorId="0" shapeId="0">
      <text>
        <t>Changed from MustComplete=1 to TargetMode=SOFT in v6. This is an explicit semantic revision, not a claim that the target is already met.</t>
      </text>
    </comment>
    <comment ref="E10" authorId="0" shapeId="0">
      <text>
        <t>Changed from MustComplete=1 to TargetMode=SOFT in v6. This is an explicit semantic revision, not a claim that the target is already met.</t>
      </text>
    </comment>
    <comment ref="E11" authorId="0" shapeId="0">
      <text>
        <t>Changed from MustComplete=1 to TargetMode=SOFT in v6. This is an explicit semantic revision, not a claim that the target is already met.</t>
      </text>
    </comment>
  </commentList>
</comments>
</file>

<file path=xl/comments/comment5.xml><?xml version="1.0" encoding="utf-8"?>
<comments xmlns="http://schemas.openxmlformats.org/spreadsheetml/2006/main">
  <authors>
    <author>Planning input v6</author>
    <author>OpenAI</author>
  </authors>
  <commentList>
    <comment ref="A1" authorId="0" shapeId="0">
      <text>
        <t>Source: production_planning_input_v5_kabak_sequence.xlsx / calendar. IDs, capacities, quantities and calendar values are retained. TargetMode is the explicit v6 replacement for MustComplete. Read row 1 as column names and table body rows as input records.</t>
      </text>
    </comment>
    <comment ref="E1" authorId="1" shapeId="0">
      <text>
        <t>Available production hours for this machine/day/shift. Can be reduced for maintenance or partial shifts.</t>
      </text>
    </comment>
  </commentList>
</comments>
</file>

<file path=xl/comments/comment6.xml><?xml version="1.0" encoding="utf-8"?>
<comments xmlns="http://schemas.openxmlformats.org/spreadsheetml/2006/main">
  <authors>
    <author>Planning input v6</author>
  </authors>
  <commentList>
    <comment ref="E1" authorId="0" shapeId="0">
      <text>
        <t>SAME_MACHINE: the order applies only if BOTH products are scheduled on the same machine. It neither forces co-location nor requires the Before product to be produced when only the After product is scheduled. P003 and P005 have no mutual order.</t>
      </text>
    </comment>
  </commentList>
</comments>
</file>

<file path=xl/comments/comment7.xml><?xml version="1.0" encoding="utf-8"?>
<comments xmlns="http://schemas.openxmlformats.org/spreadsheetml/2006/main">
  <authors>
    <author>Planning input v6</author>
  </authors>
  <commentList>
    <comment ref="D1" authorId="0" shapeId="0">
      <text>
        <t>Previous day A -&gt; today Shift-1 B -&gt; today Shift-2 C means TWO changes today and is not allowed when this limit is 1. A -&gt; A -&gt; B means one change today. CountCrossDayChangeovers in settings defines the cross-day behavior.</t>
      </text>
    </comment>
  </commentList>
</comments>
</file>

<file path=xl/comments/comment8.xml><?xml version="1.0" encoding="utf-8"?>
<comments xmlns="http://schemas.openxmlformats.org/spreadsheetml/2006/main">
  <authors>
    <author>Planning input v6</author>
  </authors>
  <commentList>
    <comment ref="B1" authorId="0" shapeId="0">
      <text>
        <t>Scope determines the grouping: ALL_PRODUCTS or ALL_FAMILIES. The redundant PRODUCT:P005 row from v5 was removed. P005 inherits ALL_PRODUCTS; no product-specific hard cap has been added.</t>
      </text>
    </comment>
    <comment ref="D1" authorId="0" shapeId="0">
      <text>
        <t>A preference when Hard=0, not a hard assignment limit. Objective_ID links this row to the sole objective ordering in objectives. Unscheduled target quantities must still be reported as unmet.</t>
      </text>
    </comment>
  </commentList>
</comments>
</file>

<file path=xl/comments/comment9.xml><?xml version="1.0" encoding="utf-8"?>
<comments xmlns="http://schemas.openxmlformats.org/spreadsheetml/2006/main">
  <authors>
    <author>Planning input v6</author>
  </authors>
  <commentList>
    <comment ref="A1" authorId="0" shapeId="0">
      <text>
        <t>Source: production_planning_input_v5_kabak_sequence.xlsx / initial_state. IDs, capacities, quantities and calendar values are retained. TargetMode is the explicit v6 replacement for MustComplete. Read row 1 as column names and table body rows as input records.</t>
      </text>
    </comment>
    <comment ref="B1" authorId="0" shapeId="0">
      <text>
        <t>Last/continuing product at horizon start. Blank means no registered initial product; confirm the real machine state before production use. All source rows remain blank; no initial product has been invented.</t>
      </text>
    </comment>
    <comment ref="C1" authorId="0" shapeId="0">
      <text>
        <t>Already produced before this horizon in the continuing run. Counts only toward its run minimum, not current-week target fulfillment.</t>
      </text>
    </comment>
    <comment ref="D1" authorId="0" shapeId="0">
      <text>
        <t>1 = setup for the current product is complete. If Current_Product_ID is blank, Run_Produced_t and Setup_Completed must be zero.</t>
      </text>
    </comment>
  </commentList>
</comments>
</file>

<file path=xl/comments/comment10.xml><?xml version="1.0" encoding="utf-8"?>
<comments xmlns="http://schemas.openxmlformats.org/spreadsheetml/2006/main">
  <authors>
    <author>Planning input v6</author>
  </authors>
  <commentList>
    <comment ref="A1" authorId="0" shapeId="0">
      <text>
        <t>This is the ONLY source of objective priorities. Hard constraints always apply before all objectives. Priorities 2-7 are compared lexicographically after the baseline unmet cap is fixed; the 2-ton tolerance is never renewed at each stage. When all preference metrics tie, keep the lower-unmet plan.</t>
      </text>
    </comment>
  </commentList>
</comments>
</file>

<file path=xl/comments/comment11.xml><?xml version="1.0" encoding="utf-8"?>
<comments xmlns="http://schemas.openxmlformats.org/spreadsheetml/2006/main">
  <authors>
    <author>Planning input v6</author>
  </authors>
  <commentList>
    <comment ref="A1" authorId="0" shapeId="0">
      <text>
        <t>Schema v6 single sources: priorities -&gt; objectives; target modes -&gt; targets; daily numeric limits -&gt; changeover_rules; product/family preferences -&gt; allocation_rules; sequence pairs -&gt; sequence_rules. Duplicate numeric switches and priorities were removed.</t>
      </text>
    </comment>
    <comment ref="B2" authorId="0" shapeId="0">
      <text>
        <t>Workbook revision 6.0; source: production_planning_input_v5_kabak_sequence.xlsx. The production plan was NOT rerun when preparing this input workbook.</t>
      </text>
    </comment>
    <comment ref="B3" authorId="0" shapeId="0">
      <text>
        <t>Standard shift length in hours. calendar.Hours is authoritative for each machine/day/shift; this is a default when generating calendar rows.</t>
      </text>
    </comment>
    <comment ref="B4" authorId="0" shapeId="0">
      <text>
        <t>Fallback preparation minutes ONLY when machine_product.Preparation_min is blank. Actual preparation values are not artificially increased.</t>
      </text>
    </comment>
    <comment ref="B5" authorId="0" shapeId="0">
      <text>
        <t>Calendar planning horizon in days. Day-n labels are sorted by numeric n, not lexically.</t>
      </text>
    </comment>
    <comment ref="B6" authorId="0" shapeId="0">
      <text>
        <t>Allow a below-minimum final run only when remaining target is below MinRun_t and that run completes the remaining target. Lack of capacity alone is not an exception.</t>
      </text>
    </comment>
    <comment ref="B7" authorId="0" shapeId="0">
      <text>
        <t>0 = no product may be scheduled above its target. The surplus objective has no effect while this hard prohibition is active.</t>
      </text>
    </comment>
    <comment ref="B8" authorId="0" shapeId="0">
      <text>
        <t>HARD: forbid A-B-A on the same machine throughout the horizon. Ignore idle shifts when checking the product sequence; do not reset on calendar closure.</t>
      </text>
    </comment>
    <comment ref="B9" authorId="0" shapeId="0">
      <text>
        <t>Prefer consecutive continuation of the same production run. A soft construction/tie-break preference; never override objectives or hard limits.</t>
      </text>
    </comment>
    <comment ref="B10" authorId="0" shapeId="0">
      <text>
        <t>Constructive heuristic preference: schedule products with fewer eligible machines first. This is a search heuristic, not an extra objective priority.</t>
      </text>
    </comment>
    <comment ref="B11" authorId="0" shapeId="0">
      <text>
        <t>Priorities exist only in objectives. First find the baseline; then optimize priorities 2-7 in order under one fixed total-unmet cap. On equal preference metrics keep lower unmet.</t>
      </text>
    </comment>
    <comment ref="B12" authorId="0" shapeId="0">
      <text>
        <t>Maximum ADDITIONAL total unmet versus the best-found same-input baseline. Applied once to the whole plan, not per product, family or optimization stage.</t>
      </text>
    </comment>
    <comment ref="B13" authorId="0" shapeId="0">
      <text>
        <t>Candidate total unmet &lt;= frozen baseline total unmet + UnmetTolerance_t. HARD targets are never relaxed by this allowance.</t>
      </text>
    </comment>
    <comment ref="B14" authorId="0" shapeId="0">
      <text>
        <t>Use the lowest unmet found with the same operational constraints, inputs and target priorities before preference selection. Record that baseline in output; do not label it proven optimal unless proved.</t>
      </text>
    </comment>
    <comment ref="B15" authorId="0" shapeId="0">
      <text>
        <t>Include the transition from the previous day or the last non-idle product. Daily numeric limits are defined ONLY in changeover_rules.</t>
      </text>
    </comment>
    <comment ref="B16" authorId="0" shapeId="0">
      <text>
        <t>Charge a product transition to the day on which the new product starts, not to the day on which the old product ended.</t>
      </text>
    </comment>
    <comment ref="B17" authorId="0" shapeId="0">
      <text>
        <t>Empty initial machine -&gt; first product is a setup, not a changeover. A known initial product -&gt; a different product IS a changeover. Both may consume preparation time.</t>
      </text>
    </comment>
    <comment ref="B18" authorId="0" shapeId="0">
      <text>
        <t>Idle, closed or general-cleaning shifts do not erase the last-product state or the no-return history. No implicit cleaning-reset rule is assumed.</t>
      </text>
    </comment>
    <comment ref="B19" authorId="0" shapeId="0">
      <text>
        <t>Explicit same-machine product pairs are authoritative. Validate consistency and completeness against Family and Sequence_Order in products.</t>
      </text>
    </comment>
    <comment ref="B20" authorId="0" shapeId="0">
      <text>
        <t>Reject cycles, contradictory pairs and same-family Sequence_Order inconsistencies. Do not silently choose one conflicting source.</t>
      </text>
    </comment>
    <comment ref="B21" authorId="0" shapeId="0">
      <text>
        <t>Constructive heuristic builds candidate plans; MILP then improves the feasible baseline and preference trade-offs under the same rules.</t>
      </text>
    </comment>
    <comment ref="B22" authorId="0" shapeId="0">
      <text>
        <t>Number of constructive candidate attempts requested. Record actual completed attempts and runtime; do not imply all attempts are unique plans.</t>
      </text>
    </comment>
    <comment ref="B23" authorId="0" shapeId="0">
      <text>
        <t>Total MILP solve-time budget in seconds for one hybrid run, shared across its optimization stages. Model building and Excel I/O are logged separately.</t>
      </text>
    </comment>
    <comment ref="B24" authorId="0" shapeId="0">
      <text>
        <t>Allow eligible machine-product assignments, product order and quantities to change. Do not freeze the heuristic topology. Keep the best valid candidate under the same comparison policy.</t>
      </text>
    </comment>
    <comment ref="B25" authorId="0" shapeId="0">
      <text>
        <t>Log heuristic, MILP model build, MILP solve, validation, Excel I/O and total wall-clock runtime. Also record solver status, bound/gap if available and actual attempts.</t>
      </text>
    </comment>
    <comment ref="B26" authorId="0" shapeId="0">
      <text>
        <t>Reject duplicate keys, invalid references, missing required values, invalid numbers, calendar conflicts and inconsistent rule sources before optimization.</t>
      </text>
    </comment>
    <comment ref="B27" authorId="0" shapeId="0">
      <text>
        <t>Reject unsupported parameters, scopes and objective IDs. This workbook defines inputs; it does not itself implement or execute the scheduling algorithm.</t>
      </text>
    </comment>
  </commentList>
</comments>
</file>

<file path=xl/tables/table1.xml><?xml version="1.0" encoding="utf-8"?>
<table xmlns="http://schemas.openxmlformats.org/spreadsheetml/2006/main" id="1" name="tblProducts" displayName="tblProducts" ref="A1:F11" headerRowCount="1">
  <autoFilter ref="A1:F11"/>
  <tableColumns count="6">
    <tableColumn id="1" name="Product_ID"/>
    <tableColumn id="2" name="Product"/>
    <tableColumn id="3" name="Family"/>
    <tableColumn id="4" name="Salt_Status"/>
    <tableColumn id="5" name="Sequence_Order"/>
    <tableColumn id="6" name="Priority"/>
  </tableColumns>
  <tableStyleInfo name="TableStyleMedium2" showFirstColumn="0" showLastColumn="0" showRowStripes="1" showColumnStripes="0"/>
</table>
</file>

<file path=xl/tables/table2.xml><?xml version="1.0" encoding="utf-8"?>
<table xmlns="http://schemas.openxmlformats.org/spreadsheetml/2006/main" id="2" name="tblMachines" displayName="tblMachines" ref="A1:D6" headerRowCount="1">
  <autoFilter ref="A1:D6"/>
  <tableColumns count="4">
    <tableColumn id="1" name="Machine_ID"/>
    <tableColumn id="2" name="Machine"/>
    <tableColumn id="3" name="Active"/>
    <tableColumn id="4" name="Priority"/>
  </tableColumns>
  <tableStyleInfo name="TableStyleMedium2" showFirstColumn="0" showLastColumn="0" showRowStripes="1" showColumnStripes="0"/>
</table>
</file>

<file path=xl/tables/table3.xml><?xml version="1.0" encoding="utf-8"?>
<table xmlns="http://schemas.openxmlformats.org/spreadsheetml/2006/main" id="3" name="tblMachineProduct" displayName="tblMachineProduct" ref="A1:H51" headerRowCount="1">
  <autoFilter ref="A1:H51"/>
  <tableColumns count="8">
    <tableColumn id="1" name="Machine_ID"/>
    <tableColumn id="2" name="Product_ID"/>
    <tableColumn id="3" name="Allowed"/>
    <tableColumn id="4" name="MachinePriority"/>
    <tableColumn id="5" name="Capacity_tph"/>
    <tableColumn id="6" name="MinRun_t">
      <calculatedColumnFormula>tblMachineProduct[[#This Row],[Capacity_tph]]*3</calculatedColumnFormula>
    </tableColumn>
    <tableColumn id="7" name="MaxDaily_t">
      <calculatedColumnFormula>tblMachineProduct[[#This Row],[Capacity_tph]]*8</calculatedColumnFormula>
    </tableColumn>
    <tableColumn id="8" name="Preparation_min"/>
  </tableColumns>
  <tableStyleInfo name="TableStyleMedium2" showFirstColumn="0" showLastColumn="0" showRowStripes="1" showColumnStripes="0"/>
</table>
</file>

<file path=xl/tables/table4.xml><?xml version="1.0" encoding="utf-8"?>
<table xmlns="http://schemas.openxmlformats.org/spreadsheetml/2006/main" id="4" name="tblCalendar" displayName="tblCalendar" ref="A1:F61" headerRowCount="1">
  <autoFilter ref="A1:F61"/>
  <tableColumns count="6">
    <tableColumn id="1" name="Machine_ID"/>
    <tableColumn id="2" name="Day"/>
    <tableColumn id="3" name="Shift"/>
    <tableColumn id="4" name="Available"/>
    <tableColumn id="5" name="Hours"/>
    <tableColumn id="6" name="Reason"/>
  </tableColumns>
  <tableStyleInfo name="TableStyleMedium2" showFirstColumn="0" showLastColumn="0" showRowStripes="1" showColumnStripes="0"/>
</table>
</file>

<file path=xl/tables/table5.xml><?xml version="1.0" encoding="utf-8"?>
<table xmlns="http://schemas.openxmlformats.org/spreadsheetml/2006/main" id="5" name="tblInitialState" displayName="tblInitialState" ref="A1:D6" headerRowCount="1">
  <autoFilter ref="A1:D6"/>
  <tableColumns count="4">
    <tableColumn id="1" name="Machine_ID"/>
    <tableColumn id="2" name="Current_Product_ID"/>
    <tableColumn id="3" name="Run_Produced_t"/>
    <tableColumn id="4" name="Setup_Complet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8.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9.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0.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1.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sheet1.xml><?xml version="1.0" encoding="utf-8"?>
<worksheet xmlns="http://schemas.openxmlformats.org/spreadsheetml/2006/main">
  <sheetPr>
    <outlinePr summaryBelow="1" summaryRight="1"/>
    <pageSetUpPr fitToPage="1"/>
  </sheetPr>
  <dimension ref="A1:F11"/>
  <sheetViews>
    <sheetView showGridLines="0" workbookViewId="0">
      <pane ySplit="1" topLeftCell="A2" activePane="bottomLeft" state="frozen"/>
      <selection pane="bottomLeft" activeCell="B14" sqref="B14"/>
    </sheetView>
  </sheetViews>
  <sheetFormatPr baseColWidth="8" defaultRowHeight="14.5"/>
  <cols>
    <col width="13" customWidth="1" min="1" max="1"/>
    <col width="30" customWidth="1" min="2" max="2"/>
    <col width="22" customWidth="1" min="3" max="3"/>
    <col width="16" customWidth="1" min="4" max="5"/>
    <col width="12" customWidth="1" min="6" max="6"/>
  </cols>
  <sheetData>
    <row r="1" ht="30" customHeight="1">
      <c r="A1" s="1" t="inlineStr">
        <is>
          <t>Product_ID</t>
        </is>
      </c>
      <c r="B1" s="1" t="inlineStr">
        <is>
          <t>Product</t>
        </is>
      </c>
      <c r="C1" s="1" t="inlineStr">
        <is>
          <t>Family</t>
        </is>
      </c>
      <c r="D1" s="1" t="inlineStr">
        <is>
          <t>Salt_Status</t>
        </is>
      </c>
      <c r="E1" s="1" t="inlineStr">
        <is>
          <t>Sequence_Order</t>
        </is>
      </c>
      <c r="F1" s="1" t="inlineStr">
        <is>
          <t>Priority</t>
        </is>
      </c>
    </row>
    <row r="2" ht="22" customHeight="1">
      <c r="A2" s="2" t="inlineStr">
        <is>
          <t>P001</t>
        </is>
      </c>
      <c r="B2" s="3" t="inlineStr">
        <is>
          <t>Ayçekirdeği tuzsuz</t>
        </is>
      </c>
      <c r="C2" s="3" t="inlineStr">
        <is>
          <t>Ayçekirdeği</t>
        </is>
      </c>
      <c r="D2" s="3" t="inlineStr">
        <is>
          <t>UNSALTED</t>
        </is>
      </c>
      <c r="E2" s="3" t="n">
        <v>1</v>
      </c>
      <c r="F2" s="3" t="n">
        <v>1</v>
      </c>
    </row>
    <row r="3" ht="22" customHeight="1">
      <c r="A3" s="2" t="inlineStr">
        <is>
          <t>P002</t>
        </is>
      </c>
      <c r="B3" s="3" t="inlineStr">
        <is>
          <t>Ayçekirdeği tuzlu</t>
        </is>
      </c>
      <c r="C3" s="3" t="inlineStr">
        <is>
          <t>Ayçekirdeği</t>
        </is>
      </c>
      <c r="D3" s="3" t="inlineStr">
        <is>
          <t>SALTED</t>
        </is>
      </c>
      <c r="E3" s="3" t="n">
        <v>2</v>
      </c>
      <c r="F3" s="3" t="n">
        <v>1</v>
      </c>
    </row>
    <row r="4" ht="22" customHeight="1">
      <c r="A4" s="2" t="inlineStr">
        <is>
          <t>P003</t>
        </is>
      </c>
      <c r="B4" s="3" t="inlineStr">
        <is>
          <t>Kabak Nevşehir (salamura)</t>
        </is>
      </c>
      <c r="C4" s="3" t="inlineStr">
        <is>
          <t>Kabak</t>
        </is>
      </c>
      <c r="D4" s="3" t="inlineStr">
        <is>
          <t>SALTED</t>
        </is>
      </c>
      <c r="E4" s="3" t="n">
        <v>2</v>
      </c>
      <c r="F4" s="3" t="n">
        <v>1</v>
      </c>
    </row>
    <row r="5" ht="22" customHeight="1">
      <c r="A5" s="2" t="inlineStr">
        <is>
          <t>P004</t>
        </is>
      </c>
      <c r="B5" s="3" t="inlineStr">
        <is>
          <t>Kabak Kav. Tuzsuz</t>
        </is>
      </c>
      <c r="C5" s="3" t="inlineStr">
        <is>
          <t>Kabak</t>
        </is>
      </c>
      <c r="D5" s="3" t="inlineStr">
        <is>
          <t>UNSALTED</t>
        </is>
      </c>
      <c r="E5" s="3" t="n">
        <v>1</v>
      </c>
      <c r="F5" s="3" t="n">
        <v>1</v>
      </c>
    </row>
    <row r="6" ht="22" customHeight="1">
      <c r="A6" s="2" t="inlineStr">
        <is>
          <t>P005</t>
        </is>
      </c>
      <c r="B6" s="3" t="inlineStr">
        <is>
          <t>Kabak Çifte Kav.</t>
        </is>
      </c>
      <c r="C6" s="3" t="inlineStr">
        <is>
          <t>Kabak</t>
        </is>
      </c>
      <c r="D6" s="3" t="inlineStr">
        <is>
          <t>SALTED</t>
        </is>
      </c>
      <c r="E6" s="3" t="n">
        <v>2</v>
      </c>
      <c r="F6" s="3" t="n">
        <v>1</v>
      </c>
    </row>
    <row r="7" ht="22" customHeight="1">
      <c r="A7" s="2" t="inlineStr">
        <is>
          <t>P006</t>
        </is>
      </c>
      <c r="B7" s="3" t="inlineStr">
        <is>
          <t>Badem kavurma</t>
        </is>
      </c>
      <c r="C7" s="3" t="inlineStr">
        <is>
          <t>Badem</t>
        </is>
      </c>
      <c r="D7" s="3" t="inlineStr">
        <is>
          <t>NONE</t>
        </is>
      </c>
      <c r="E7" s="3" t="n">
        <v>1</v>
      </c>
      <c r="F7" s="3" t="n">
        <v>1</v>
      </c>
    </row>
    <row r="8" ht="22" customHeight="1">
      <c r="A8" s="2" t="inlineStr">
        <is>
          <t>P007</t>
        </is>
      </c>
      <c r="B8" s="3" t="inlineStr">
        <is>
          <t>Kaju kavurma</t>
        </is>
      </c>
      <c r="C8" s="3" t="inlineStr">
        <is>
          <t>Kaju</t>
        </is>
      </c>
      <c r="D8" s="3" t="inlineStr">
        <is>
          <t>NONE</t>
        </is>
      </c>
      <c r="E8" s="3" t="n">
        <v>1</v>
      </c>
      <c r="F8" s="3" t="n">
        <v>1</v>
      </c>
    </row>
    <row r="9" ht="22" customHeight="1">
      <c r="A9" s="2" t="inlineStr">
        <is>
          <t>P008</t>
        </is>
      </c>
      <c r="B9" s="3" t="inlineStr">
        <is>
          <t>Fıstık Tuzlu Lüks</t>
        </is>
      </c>
      <c r="C9" s="3" t="inlineStr">
        <is>
          <t>Fıstık Lüks</t>
        </is>
      </c>
      <c r="D9" s="3" t="inlineStr">
        <is>
          <t>SALTED</t>
        </is>
      </c>
      <c r="E9" s="3" t="n">
        <v>2</v>
      </c>
      <c r="F9" s="3" t="n">
        <v>1</v>
      </c>
    </row>
    <row r="10" ht="22" customHeight="1">
      <c r="A10" s="2" t="inlineStr">
        <is>
          <t>P009</t>
        </is>
      </c>
      <c r="B10" s="3" t="inlineStr">
        <is>
          <t>Fıstık Tuzsuz Lüks</t>
        </is>
      </c>
      <c r="C10" s="3" t="inlineStr">
        <is>
          <t>Fıstık Lüks</t>
        </is>
      </c>
      <c r="D10" s="3" t="inlineStr">
        <is>
          <t>UNSALTED</t>
        </is>
      </c>
      <c r="E10" s="3" t="n">
        <v>1</v>
      </c>
      <c r="F10" s="3" t="n">
        <v>1</v>
      </c>
    </row>
    <row r="11" ht="22" customHeight="1">
      <c r="A11" s="2" t="inlineStr">
        <is>
          <t>P010</t>
        </is>
      </c>
      <c r="B11" s="3" t="inlineStr">
        <is>
          <t>Fıstık Kabuklu</t>
        </is>
      </c>
      <c r="C11" s="3" t="inlineStr">
        <is>
          <t>Fıstık Kabuklu</t>
        </is>
      </c>
      <c r="D11" s="3" t="inlineStr">
        <is>
          <t>NONE</t>
        </is>
      </c>
      <c r="E11" s="3" t="n">
        <v>1</v>
      </c>
      <c r="F11" s="3" t="n">
        <v>1</v>
      </c>
    </row>
  </sheetData>
  <conditionalFormatting sqref="A2:A1001">
    <cfRule type="expression" priority="1" dxfId="0">
      <formula>AND(A2&lt;&gt;"",COUNTIF($A$2:$A$1001,A2)&gt;1)</formula>
    </cfRule>
  </conditionalFormatting>
  <dataValidations count="2">
    <dataValidation sqref="D2:D1001" showDropDown="0" showInputMessage="0" showErrorMessage="1" allowBlank="0" errorTitle="Invalid input" error="Choose a value from the list." type="list">
      <formula1>"UNSALTED,SALTED,NONE"</formula1>
    </dataValidation>
    <dataValidation sqref="E2:F1001" showDropDown="0" showInputMessage="0" showErrorMessage="1" allowBlank="0" errorTitle="Invalid numeric input" error="Enter a valid nonnegative number or a value within the allowed limits." type="whole" operator="greaterThanOrEqual">
      <formula1>1</formula1>
    </dataValidation>
  </dataValidations>
  <printOptions horizontalCentered="1"/>
  <pageMargins left="0.75" right="0.75" top="1" bottom="1" header="0.5" footer="0.5"/>
  <pageSetup orientation="landscape" paperSize="9" fitToHeight="0"/>
  <headerFooter>
    <oddHeader/>
    <oddFooter>&amp;CProduction planning input | v6&amp;RPage &amp;P / &amp;N</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D6"/>
  <sheetViews>
    <sheetView showGridLines="0" workbookViewId="0">
      <pane ySplit="1" topLeftCell="A2" activePane="bottomLeft" state="frozen"/>
      <selection pane="bottomLeft" activeCell="A1" sqref="A1"/>
    </sheetView>
  </sheetViews>
  <sheetFormatPr baseColWidth="8" defaultRowHeight="14.5"/>
  <cols>
    <col width="13" customWidth="1" min="1" max="1"/>
    <col width="18" customWidth="1" min="2" max="2"/>
    <col width="12" customWidth="1" min="3" max="4"/>
  </cols>
  <sheetData>
    <row r="1" ht="30" customHeight="1">
      <c r="A1" s="1" t="inlineStr">
        <is>
          <t>Machine_ID</t>
        </is>
      </c>
      <c r="B1" s="1" t="inlineStr">
        <is>
          <t>Machine</t>
        </is>
      </c>
      <c r="C1" s="1" t="inlineStr">
        <is>
          <t>Active</t>
        </is>
      </c>
      <c r="D1" s="1" t="inlineStr">
        <is>
          <t>Priority</t>
        </is>
      </c>
    </row>
    <row r="2" ht="22" customHeight="1">
      <c r="A2" s="2" t="inlineStr">
        <is>
          <t>M001</t>
        </is>
      </c>
      <c r="B2" s="3" t="inlineStr">
        <is>
          <t>CS1</t>
        </is>
      </c>
      <c r="C2" s="3" t="n">
        <v>1</v>
      </c>
      <c r="D2" s="3" t="n">
        <v>1</v>
      </c>
    </row>
    <row r="3" ht="22" customHeight="1">
      <c r="A3" s="2" t="inlineStr">
        <is>
          <t>M002</t>
        </is>
      </c>
      <c r="B3" s="3" t="inlineStr">
        <is>
          <t>CS2</t>
        </is>
      </c>
      <c r="C3" s="3" t="n">
        <v>1</v>
      </c>
      <c r="D3" s="3" t="n">
        <v>2</v>
      </c>
    </row>
    <row r="4" ht="22" customHeight="1">
      <c r="A4" s="2" t="inlineStr">
        <is>
          <t>M003</t>
        </is>
      </c>
      <c r="B4" s="3" t="inlineStr">
        <is>
          <t>EB1</t>
        </is>
      </c>
      <c r="C4" s="3" t="n">
        <v>1</v>
      </c>
      <c r="D4" s="3" t="n">
        <v>1</v>
      </c>
    </row>
    <row r="5" ht="22" customHeight="1">
      <c r="A5" s="2" t="inlineStr">
        <is>
          <t>M004</t>
        </is>
      </c>
      <c r="B5" s="3" t="inlineStr">
        <is>
          <t>EB2</t>
        </is>
      </c>
      <c r="C5" s="3" t="n">
        <v>1</v>
      </c>
      <c r="D5" s="3" t="n">
        <v>2</v>
      </c>
    </row>
    <row r="6" ht="22" customHeight="1">
      <c r="A6" s="2" t="inlineStr">
        <is>
          <t>M005</t>
        </is>
      </c>
      <c r="B6" s="3" t="inlineStr">
        <is>
          <t>CS3</t>
        </is>
      </c>
      <c r="C6" s="3" t="n">
        <v>1</v>
      </c>
      <c r="D6" s="3" t="n">
        <v>1</v>
      </c>
    </row>
  </sheetData>
  <conditionalFormatting sqref="A2:A1001">
    <cfRule type="expression" priority="1" dxfId="0">
      <formula>AND(A2&lt;&gt;"",COUNTIF($A$2:$A$1001,A2)&gt;1)</formula>
    </cfRule>
  </conditionalFormatting>
  <dataValidations count="2">
    <dataValidation sqref="C2:C1001" showDropDown="0" showInputMessage="0" showErrorMessage="1" allowBlank="0" errorTitle="Invalid input" error="Choose a value from the list." type="list">
      <formula1>"0,1"</formula1>
    </dataValidation>
    <dataValidation sqref="D2:D1001" showDropDown="0" showInputMessage="0" showErrorMessage="1" allowBlank="0" errorTitle="Invalid numeric input" error="Enter a valid nonnegative number or a value within the allowed limits." type="whole" operator="greaterThanOrEqual">
      <formula1>1</formula1>
    </dataValidation>
  </dataValidations>
  <printOptions horizontalCentered="1"/>
  <pageMargins left="0.75" right="0.75" top="1" bottom="1" header="0.5" footer="0.5"/>
  <pageSetup orientation="landscape" paperSize="9" fitToHeight="0"/>
  <headerFooter>
    <oddHeader/>
    <oddFooter>&amp;CProduction planning input | v6&amp;RPage &amp;P / &amp;N</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H51"/>
  <sheetViews>
    <sheetView showGridLines="0" workbookViewId="0">
      <pane ySplit="1" topLeftCell="A44" activePane="bottomLeft" state="frozen"/>
      <selection pane="bottomLeft" activeCell="D54" sqref="D54"/>
    </sheetView>
  </sheetViews>
  <sheetFormatPr baseColWidth="8" defaultRowHeight="14.5"/>
  <cols>
    <col width="13" customWidth="1" min="1" max="2"/>
    <col width="11" customWidth="1" min="3" max="3"/>
    <col width="18" customWidth="1" min="4" max="4"/>
    <col width="15" customWidth="1" min="5" max="5"/>
    <col width="13" customWidth="1" min="6" max="6"/>
    <col width="14" customWidth="1" min="7" max="7"/>
    <col width="18" customWidth="1" min="8" max="8"/>
  </cols>
  <sheetData>
    <row r="1" ht="30" customHeight="1">
      <c r="A1" s="1" t="inlineStr">
        <is>
          <t>Machine_ID</t>
        </is>
      </c>
      <c r="B1" s="1" t="inlineStr">
        <is>
          <t>Product_ID</t>
        </is>
      </c>
      <c r="C1" s="1" t="inlineStr">
        <is>
          <t>Allowed</t>
        </is>
      </c>
      <c r="D1" s="1" t="inlineStr">
        <is>
          <t>MachinePriority</t>
        </is>
      </c>
      <c r="E1" s="1" t="inlineStr">
        <is>
          <t>Capacity_tph</t>
        </is>
      </c>
      <c r="F1" s="1" t="inlineStr">
        <is>
          <t>MinRun_t</t>
        </is>
      </c>
      <c r="G1" s="1" t="inlineStr">
        <is>
          <t>MaxDaily_t</t>
        </is>
      </c>
      <c r="H1" s="1" t="inlineStr">
        <is>
          <t>Preparation_min</t>
        </is>
      </c>
    </row>
    <row r="2" ht="22" customHeight="1">
      <c r="A2" s="2" t="inlineStr">
        <is>
          <t>M001</t>
        </is>
      </c>
      <c r="B2" s="2" t="inlineStr">
        <is>
          <t>P001</t>
        </is>
      </c>
      <c r="C2" s="3" t="n">
        <v>1</v>
      </c>
      <c r="D2" s="3" t="n">
        <v>1</v>
      </c>
      <c r="E2" s="4" t="n">
        <v>1.5</v>
      </c>
      <c r="F2" s="3">
        <f>tblMachineProduct[[#This Row],[Capacity_tph]]*3</f>
        <v/>
      </c>
      <c r="G2" s="3">
        <f>tblMachineProduct[[#This Row],[Capacity_tph]]*8</f>
        <v/>
      </c>
      <c r="H2" s="11" t="n">
        <v>40</v>
      </c>
    </row>
    <row r="3" ht="22" customHeight="1">
      <c r="A3" s="2" t="inlineStr">
        <is>
          <t>M001</t>
        </is>
      </c>
      <c r="B3" s="2" t="inlineStr">
        <is>
          <t>P002</t>
        </is>
      </c>
      <c r="C3" s="3" t="n">
        <v>1</v>
      </c>
      <c r="D3" s="3" t="n">
        <v>1</v>
      </c>
      <c r="E3" s="4" t="n">
        <v>1.75</v>
      </c>
      <c r="F3" s="3">
        <f>tblMachineProduct[[#This Row],[Capacity_tph]]*3</f>
        <v/>
      </c>
      <c r="G3" s="3">
        <f>tblMachineProduct[[#This Row],[Capacity_tph]]*8</f>
        <v/>
      </c>
      <c r="H3" s="11" t="n">
        <v>40</v>
      </c>
    </row>
    <row r="4" ht="22" customHeight="1">
      <c r="A4" s="2" t="inlineStr">
        <is>
          <t>M001</t>
        </is>
      </c>
      <c r="B4" s="2" t="inlineStr">
        <is>
          <t>P003</t>
        </is>
      </c>
      <c r="C4" s="3" t="n">
        <v>0</v>
      </c>
      <c r="D4" s="3" t="n"/>
      <c r="E4" s="3" t="n">
        <v>0</v>
      </c>
      <c r="F4" s="3">
        <f>tblMachineProduct[[#This Row],[Capacity_tph]]*3</f>
        <v/>
      </c>
      <c r="G4" s="3">
        <f>tblMachineProduct[[#This Row],[Capacity_tph]]*8</f>
        <v/>
      </c>
      <c r="H4" s="11" t="n">
        <v>40</v>
      </c>
    </row>
    <row r="5" ht="22" customHeight="1">
      <c r="A5" s="2" t="inlineStr">
        <is>
          <t>M001</t>
        </is>
      </c>
      <c r="B5" s="2" t="inlineStr">
        <is>
          <t>P004</t>
        </is>
      </c>
      <c r="C5" s="3" t="n">
        <v>1</v>
      </c>
      <c r="D5" s="3" t="n">
        <v>1</v>
      </c>
      <c r="E5" s="4" t="n">
        <v>1.2</v>
      </c>
      <c r="F5" s="3">
        <f>tblMachineProduct[[#This Row],[Capacity_tph]]*3</f>
        <v/>
      </c>
      <c r="G5" s="3">
        <f>tblMachineProduct[[#This Row],[Capacity_tph]]*8</f>
        <v/>
      </c>
      <c r="H5" s="11" t="n">
        <v>40</v>
      </c>
    </row>
    <row r="6" ht="22" customHeight="1">
      <c r="A6" s="2" t="inlineStr">
        <is>
          <t>M001</t>
        </is>
      </c>
      <c r="B6" s="2" t="inlineStr">
        <is>
          <t>P005</t>
        </is>
      </c>
      <c r="C6" s="3" t="n">
        <v>1</v>
      </c>
      <c r="D6" s="3" t="n">
        <v>1</v>
      </c>
      <c r="E6" s="4" t="n">
        <v>1.5</v>
      </c>
      <c r="F6" s="3">
        <f>tblMachineProduct[[#This Row],[Capacity_tph]]*3</f>
        <v/>
      </c>
      <c r="G6" s="3">
        <f>tblMachineProduct[[#This Row],[Capacity_tph]]*8</f>
        <v/>
      </c>
      <c r="H6" s="11" t="n">
        <v>40</v>
      </c>
    </row>
    <row r="7" ht="22" customHeight="1">
      <c r="A7" s="2" t="inlineStr">
        <is>
          <t>M001</t>
        </is>
      </c>
      <c r="B7" s="2" t="inlineStr">
        <is>
          <t>P006</t>
        </is>
      </c>
      <c r="C7" s="3" t="n">
        <v>0</v>
      </c>
      <c r="D7" s="3" t="n"/>
      <c r="E7" s="3" t="n">
        <v>0</v>
      </c>
      <c r="F7" s="3">
        <f>tblMachineProduct[[#This Row],[Capacity_tph]]*3</f>
        <v/>
      </c>
      <c r="G7" s="3">
        <f>tblMachineProduct[[#This Row],[Capacity_tph]]*8</f>
        <v/>
      </c>
      <c r="H7" s="11" t="n">
        <v>40</v>
      </c>
    </row>
    <row r="8" ht="22" customHeight="1">
      <c r="A8" s="2" t="inlineStr">
        <is>
          <t>M001</t>
        </is>
      </c>
      <c r="B8" s="2" t="inlineStr">
        <is>
          <t>P007</t>
        </is>
      </c>
      <c r="C8" s="3" t="n">
        <v>0</v>
      </c>
      <c r="D8" s="3" t="n"/>
      <c r="E8" s="3" t="n">
        <v>0</v>
      </c>
      <c r="F8" s="3">
        <f>tblMachineProduct[[#This Row],[Capacity_tph]]*3</f>
        <v/>
      </c>
      <c r="G8" s="3">
        <f>tblMachineProduct[[#This Row],[Capacity_tph]]*8</f>
        <v/>
      </c>
      <c r="H8" s="11" t="n">
        <v>40</v>
      </c>
    </row>
    <row r="9" ht="22" customHeight="1">
      <c r="A9" s="2" t="inlineStr">
        <is>
          <t>M001</t>
        </is>
      </c>
      <c r="B9" s="2" t="inlineStr">
        <is>
          <t>P008</t>
        </is>
      </c>
      <c r="C9" s="3" t="n">
        <v>1</v>
      </c>
      <c r="D9" s="3" t="n">
        <v>1</v>
      </c>
      <c r="E9" s="4" t="n">
        <v>1.8</v>
      </c>
      <c r="F9" s="3">
        <f>tblMachineProduct[[#This Row],[Capacity_tph]]*3</f>
        <v/>
      </c>
      <c r="G9" s="3">
        <f>tblMachineProduct[[#This Row],[Capacity_tph]]*8</f>
        <v/>
      </c>
      <c r="H9" s="11" t="n">
        <v>40</v>
      </c>
    </row>
    <row r="10" ht="22" customHeight="1">
      <c r="A10" s="2" t="inlineStr">
        <is>
          <t>M001</t>
        </is>
      </c>
      <c r="B10" s="2" t="inlineStr">
        <is>
          <t>P009</t>
        </is>
      </c>
      <c r="C10" s="3" t="n">
        <v>1</v>
      </c>
      <c r="D10" s="3" t="n">
        <v>1</v>
      </c>
      <c r="E10" s="4" t="n">
        <v>1.6</v>
      </c>
      <c r="F10" s="3">
        <f>tblMachineProduct[[#This Row],[Capacity_tph]]*3</f>
        <v/>
      </c>
      <c r="G10" s="3">
        <f>tblMachineProduct[[#This Row],[Capacity_tph]]*8</f>
        <v/>
      </c>
      <c r="H10" s="11" t="n">
        <v>40</v>
      </c>
    </row>
    <row r="11" ht="22" customHeight="1">
      <c r="A11" s="2" t="inlineStr">
        <is>
          <t>M001</t>
        </is>
      </c>
      <c r="B11" s="2" t="inlineStr">
        <is>
          <t>P010</t>
        </is>
      </c>
      <c r="C11" s="3" t="n">
        <v>1</v>
      </c>
      <c r="D11" s="3" t="n">
        <v>2</v>
      </c>
      <c r="E11" s="4" t="n">
        <v>1.5</v>
      </c>
      <c r="F11" s="3">
        <f>tblMachineProduct[[#This Row],[Capacity_tph]]*3</f>
        <v/>
      </c>
      <c r="G11" s="3">
        <f>tblMachineProduct[[#This Row],[Capacity_tph]]*8</f>
        <v/>
      </c>
      <c r="H11" s="11" t="n">
        <v>40</v>
      </c>
    </row>
    <row r="12" ht="22" customHeight="1">
      <c r="A12" s="2" t="inlineStr">
        <is>
          <t>M002</t>
        </is>
      </c>
      <c r="B12" s="2" t="inlineStr">
        <is>
          <t>P001</t>
        </is>
      </c>
      <c r="C12" s="3" t="n">
        <v>1</v>
      </c>
      <c r="D12" s="3" t="n">
        <v>2</v>
      </c>
      <c r="E12" s="4" t="n">
        <v>1.5</v>
      </c>
      <c r="F12" s="3">
        <f>tblMachineProduct[[#This Row],[Capacity_tph]]*3</f>
        <v/>
      </c>
      <c r="G12" s="3">
        <f>tblMachineProduct[[#This Row],[Capacity_tph]]*8</f>
        <v/>
      </c>
      <c r="H12" s="11" t="n">
        <v>40</v>
      </c>
    </row>
    <row r="13" ht="22" customHeight="1">
      <c r="A13" s="2" t="inlineStr">
        <is>
          <t>M002</t>
        </is>
      </c>
      <c r="B13" s="2" t="inlineStr">
        <is>
          <t>P002</t>
        </is>
      </c>
      <c r="C13" s="3" t="n">
        <v>1</v>
      </c>
      <c r="D13" s="3" t="n">
        <v>2</v>
      </c>
      <c r="E13" s="4" t="n">
        <v>1.75</v>
      </c>
      <c r="F13" s="3">
        <f>tblMachineProduct[[#This Row],[Capacity_tph]]*3</f>
        <v/>
      </c>
      <c r="G13" s="3">
        <f>tblMachineProduct[[#This Row],[Capacity_tph]]*8</f>
        <v/>
      </c>
      <c r="H13" s="11" t="n">
        <v>40</v>
      </c>
    </row>
    <row r="14" ht="22" customHeight="1">
      <c r="A14" s="2" t="inlineStr">
        <is>
          <t>M002</t>
        </is>
      </c>
      <c r="B14" s="2" t="inlineStr">
        <is>
          <t>P003</t>
        </is>
      </c>
      <c r="C14" s="3" t="n">
        <v>0</v>
      </c>
      <c r="D14" s="3" t="n"/>
      <c r="E14" s="3" t="n">
        <v>0</v>
      </c>
      <c r="F14" s="3">
        <f>tblMachineProduct[[#This Row],[Capacity_tph]]*3</f>
        <v/>
      </c>
      <c r="G14" s="3">
        <f>tblMachineProduct[[#This Row],[Capacity_tph]]*8</f>
        <v/>
      </c>
      <c r="H14" s="11" t="n">
        <v>40</v>
      </c>
    </row>
    <row r="15" ht="22" customHeight="1">
      <c r="A15" s="2" t="inlineStr">
        <is>
          <t>M002</t>
        </is>
      </c>
      <c r="B15" s="2" t="inlineStr">
        <is>
          <t>P004</t>
        </is>
      </c>
      <c r="C15" s="3" t="n">
        <v>1</v>
      </c>
      <c r="D15" s="3" t="n">
        <v>3</v>
      </c>
      <c r="E15" s="4" t="n">
        <v>1.2</v>
      </c>
      <c r="F15" s="3">
        <f>tblMachineProduct[[#This Row],[Capacity_tph]]*3</f>
        <v/>
      </c>
      <c r="G15" s="3">
        <f>tblMachineProduct[[#This Row],[Capacity_tph]]*8</f>
        <v/>
      </c>
      <c r="H15" s="11" t="n">
        <v>40</v>
      </c>
    </row>
    <row r="16" ht="22" customHeight="1">
      <c r="A16" s="2" t="inlineStr">
        <is>
          <t>M002</t>
        </is>
      </c>
      <c r="B16" s="2" t="inlineStr">
        <is>
          <t>P005</t>
        </is>
      </c>
      <c r="C16" s="3" t="n">
        <v>1</v>
      </c>
      <c r="D16" s="3" t="n">
        <v>3</v>
      </c>
      <c r="E16" s="4" t="n">
        <v>1.5</v>
      </c>
      <c r="F16" s="3">
        <f>tblMachineProduct[[#This Row],[Capacity_tph]]*3</f>
        <v/>
      </c>
      <c r="G16" s="3">
        <f>tblMachineProduct[[#This Row],[Capacity_tph]]*8</f>
        <v/>
      </c>
      <c r="H16" s="11" t="n">
        <v>40</v>
      </c>
    </row>
    <row r="17" ht="22" customHeight="1">
      <c r="A17" s="2" t="inlineStr">
        <is>
          <t>M002</t>
        </is>
      </c>
      <c r="B17" s="2" t="inlineStr">
        <is>
          <t>P006</t>
        </is>
      </c>
      <c r="C17" s="3" t="n">
        <v>0</v>
      </c>
      <c r="D17" s="3" t="n"/>
      <c r="E17" s="3" t="n">
        <v>0</v>
      </c>
      <c r="F17" s="3">
        <f>tblMachineProduct[[#This Row],[Capacity_tph]]*3</f>
        <v/>
      </c>
      <c r="G17" s="3">
        <f>tblMachineProduct[[#This Row],[Capacity_tph]]*8</f>
        <v/>
      </c>
      <c r="H17" s="11" t="n">
        <v>40</v>
      </c>
    </row>
    <row r="18" ht="22" customHeight="1">
      <c r="A18" s="2" t="inlineStr">
        <is>
          <t>M002</t>
        </is>
      </c>
      <c r="B18" s="2" t="inlineStr">
        <is>
          <t>P007</t>
        </is>
      </c>
      <c r="C18" s="3" t="n">
        <v>0</v>
      </c>
      <c r="D18" s="3" t="n"/>
      <c r="E18" s="3" t="n">
        <v>0</v>
      </c>
      <c r="F18" s="3">
        <f>tblMachineProduct[[#This Row],[Capacity_tph]]*3</f>
        <v/>
      </c>
      <c r="G18" s="3">
        <f>tblMachineProduct[[#This Row],[Capacity_tph]]*8</f>
        <v/>
      </c>
      <c r="H18" s="11" t="n">
        <v>40</v>
      </c>
    </row>
    <row r="19" ht="22" customHeight="1">
      <c r="A19" s="2" t="inlineStr">
        <is>
          <t>M002</t>
        </is>
      </c>
      <c r="B19" s="2" t="inlineStr">
        <is>
          <t>P008</t>
        </is>
      </c>
      <c r="C19" s="3" t="n">
        <v>1</v>
      </c>
      <c r="D19" s="3" t="n">
        <v>2</v>
      </c>
      <c r="E19" s="4" t="n">
        <v>1.8</v>
      </c>
      <c r="F19" s="3">
        <f>tblMachineProduct[[#This Row],[Capacity_tph]]*3</f>
        <v/>
      </c>
      <c r="G19" s="3">
        <f>tblMachineProduct[[#This Row],[Capacity_tph]]*8</f>
        <v/>
      </c>
      <c r="H19" s="11" t="n">
        <v>40</v>
      </c>
    </row>
    <row r="20" ht="22" customHeight="1">
      <c r="A20" s="2" t="inlineStr">
        <is>
          <t>M002</t>
        </is>
      </c>
      <c r="B20" s="2" t="inlineStr">
        <is>
          <t>P009</t>
        </is>
      </c>
      <c r="C20" s="3" t="n">
        <v>1</v>
      </c>
      <c r="D20" s="3" t="n">
        <v>2</v>
      </c>
      <c r="E20" s="4" t="n">
        <v>1.6</v>
      </c>
      <c r="F20" s="3">
        <f>tblMachineProduct[[#This Row],[Capacity_tph]]*3</f>
        <v/>
      </c>
      <c r="G20" s="3">
        <f>tblMachineProduct[[#This Row],[Capacity_tph]]*8</f>
        <v/>
      </c>
      <c r="H20" s="11" t="n">
        <v>40</v>
      </c>
    </row>
    <row r="21" ht="22" customHeight="1">
      <c r="A21" s="2" t="inlineStr">
        <is>
          <t>M002</t>
        </is>
      </c>
      <c r="B21" s="2" t="inlineStr">
        <is>
          <t>P010</t>
        </is>
      </c>
      <c r="C21" s="3" t="n">
        <v>1</v>
      </c>
      <c r="D21" s="3" t="n">
        <v>3</v>
      </c>
      <c r="E21" s="4" t="n">
        <v>1.5</v>
      </c>
      <c r="F21" s="3">
        <f>tblMachineProduct[[#This Row],[Capacity_tph]]*3</f>
        <v/>
      </c>
      <c r="G21" s="3">
        <f>tblMachineProduct[[#This Row],[Capacity_tph]]*8</f>
        <v/>
      </c>
      <c r="H21" s="11" t="n">
        <v>40</v>
      </c>
    </row>
    <row r="22" ht="22" customHeight="1">
      <c r="A22" s="2" t="inlineStr">
        <is>
          <t>M003</t>
        </is>
      </c>
      <c r="B22" s="2" t="inlineStr">
        <is>
          <t>P001</t>
        </is>
      </c>
      <c r="C22" s="3" t="n">
        <v>0</v>
      </c>
      <c r="D22" s="3" t="n"/>
      <c r="E22" s="3" t="n">
        <v>0</v>
      </c>
      <c r="F22" s="3">
        <f>tblMachineProduct[[#This Row],[Capacity_tph]]*3</f>
        <v/>
      </c>
      <c r="G22" s="3">
        <f>tblMachineProduct[[#This Row],[Capacity_tph]]*8</f>
        <v/>
      </c>
      <c r="H22" s="11" t="n">
        <v>40</v>
      </c>
    </row>
    <row r="23" ht="22" customHeight="1">
      <c r="A23" s="2" t="inlineStr">
        <is>
          <t>M003</t>
        </is>
      </c>
      <c r="B23" s="2" t="inlineStr">
        <is>
          <t>P002</t>
        </is>
      </c>
      <c r="C23" s="3" t="n">
        <v>0</v>
      </c>
      <c r="D23" s="3" t="n"/>
      <c r="E23" s="3" t="n">
        <v>0</v>
      </c>
      <c r="F23" s="3">
        <f>tblMachineProduct[[#This Row],[Capacity_tph]]*3</f>
        <v/>
      </c>
      <c r="G23" s="3">
        <f>tblMachineProduct[[#This Row],[Capacity_tph]]*8</f>
        <v/>
      </c>
      <c r="H23" s="11" t="n">
        <v>40</v>
      </c>
    </row>
    <row r="24" ht="22" customHeight="1">
      <c r="A24" s="2" t="inlineStr">
        <is>
          <t>M003</t>
        </is>
      </c>
      <c r="B24" s="2" t="inlineStr">
        <is>
          <t>P003</t>
        </is>
      </c>
      <c r="C24" s="3" t="n">
        <v>1</v>
      </c>
      <c r="D24" s="3" t="n">
        <v>1</v>
      </c>
      <c r="E24" s="4" t="n">
        <v>0.35</v>
      </c>
      <c r="F24" s="3">
        <f>tblMachineProduct[[#This Row],[Capacity_tph]]*3</f>
        <v/>
      </c>
      <c r="G24" s="3">
        <f>tblMachineProduct[[#This Row],[Capacity_tph]]*8</f>
        <v/>
      </c>
      <c r="H24" s="11" t="n">
        <v>40</v>
      </c>
    </row>
    <row r="25" ht="22" customHeight="1">
      <c r="A25" s="2" t="inlineStr">
        <is>
          <t>M003</t>
        </is>
      </c>
      <c r="B25" s="2" t="inlineStr">
        <is>
          <t>P004</t>
        </is>
      </c>
      <c r="C25" s="3" t="n">
        <v>0</v>
      </c>
      <c r="D25" s="3" t="n"/>
      <c r="E25" s="3" t="n">
        <v>0</v>
      </c>
      <c r="F25" s="3">
        <f>tblMachineProduct[[#This Row],[Capacity_tph]]*3</f>
        <v/>
      </c>
      <c r="G25" s="3">
        <f>tblMachineProduct[[#This Row],[Capacity_tph]]*8</f>
        <v/>
      </c>
      <c r="H25" s="11" t="n">
        <v>40</v>
      </c>
    </row>
    <row r="26" ht="22" customHeight="1">
      <c r="A26" s="2" t="inlineStr">
        <is>
          <t>M003</t>
        </is>
      </c>
      <c r="B26" s="2" t="inlineStr">
        <is>
          <t>P005</t>
        </is>
      </c>
      <c r="C26" s="3" t="n">
        <v>0</v>
      </c>
      <c r="D26" s="3" t="n"/>
      <c r="E26" s="3" t="n">
        <v>0</v>
      </c>
      <c r="F26" s="3">
        <f>tblMachineProduct[[#This Row],[Capacity_tph]]*3</f>
        <v/>
      </c>
      <c r="G26" s="3">
        <f>tblMachineProduct[[#This Row],[Capacity_tph]]*8</f>
        <v/>
      </c>
      <c r="H26" s="11" t="n">
        <v>40</v>
      </c>
    </row>
    <row r="27" ht="22" customHeight="1">
      <c r="A27" s="2" t="inlineStr">
        <is>
          <t>M003</t>
        </is>
      </c>
      <c r="B27" s="2" t="inlineStr">
        <is>
          <t>P006</t>
        </is>
      </c>
      <c r="C27" s="3" t="n">
        <v>0</v>
      </c>
      <c r="D27" s="3" t="n"/>
      <c r="E27" s="3" t="n">
        <v>0</v>
      </c>
      <c r="F27" s="3">
        <f>tblMachineProduct[[#This Row],[Capacity_tph]]*3</f>
        <v/>
      </c>
      <c r="G27" s="3">
        <f>tblMachineProduct[[#This Row],[Capacity_tph]]*8</f>
        <v/>
      </c>
      <c r="H27" s="11" t="n">
        <v>40</v>
      </c>
    </row>
    <row r="28" ht="22" customHeight="1">
      <c r="A28" s="2" t="inlineStr">
        <is>
          <t>M003</t>
        </is>
      </c>
      <c r="B28" s="2" t="inlineStr">
        <is>
          <t>P007</t>
        </is>
      </c>
      <c r="C28" s="3" t="n">
        <v>0</v>
      </c>
      <c r="D28" s="3" t="n"/>
      <c r="E28" s="3" t="n">
        <v>0</v>
      </c>
      <c r="F28" s="3">
        <f>tblMachineProduct[[#This Row],[Capacity_tph]]*3</f>
        <v/>
      </c>
      <c r="G28" s="3">
        <f>tblMachineProduct[[#This Row],[Capacity_tph]]*8</f>
        <v/>
      </c>
      <c r="H28" s="11" t="n">
        <v>40</v>
      </c>
    </row>
    <row r="29" ht="22" customHeight="1">
      <c r="A29" s="2" t="inlineStr">
        <is>
          <t>M003</t>
        </is>
      </c>
      <c r="B29" s="2" t="inlineStr">
        <is>
          <t>P008</t>
        </is>
      </c>
      <c r="C29" s="3" t="n">
        <v>0</v>
      </c>
      <c r="D29" s="3" t="n"/>
      <c r="E29" s="3" t="n">
        <v>0</v>
      </c>
      <c r="F29" s="3">
        <f>tblMachineProduct[[#This Row],[Capacity_tph]]*3</f>
        <v/>
      </c>
      <c r="G29" s="3">
        <f>tblMachineProduct[[#This Row],[Capacity_tph]]*8</f>
        <v/>
      </c>
      <c r="H29" s="11" t="n">
        <v>40</v>
      </c>
    </row>
    <row r="30" ht="22" customHeight="1">
      <c r="A30" s="2" t="inlineStr">
        <is>
          <t>M003</t>
        </is>
      </c>
      <c r="B30" s="2" t="inlineStr">
        <is>
          <t>P009</t>
        </is>
      </c>
      <c r="C30" s="3" t="n">
        <v>0</v>
      </c>
      <c r="D30" s="3" t="n"/>
      <c r="E30" s="3" t="n">
        <v>0</v>
      </c>
      <c r="F30" s="3">
        <f>tblMachineProduct[[#This Row],[Capacity_tph]]*3</f>
        <v/>
      </c>
      <c r="G30" s="3">
        <f>tblMachineProduct[[#This Row],[Capacity_tph]]*8</f>
        <v/>
      </c>
      <c r="H30" s="11" t="n">
        <v>40</v>
      </c>
    </row>
    <row r="31" ht="22" customHeight="1">
      <c r="A31" s="2" t="inlineStr">
        <is>
          <t>M003</t>
        </is>
      </c>
      <c r="B31" s="2" t="inlineStr">
        <is>
          <t>P010</t>
        </is>
      </c>
      <c r="C31" s="3" t="n">
        <v>0</v>
      </c>
      <c r="D31" s="3" t="n"/>
      <c r="E31" s="3" t="n">
        <v>0</v>
      </c>
      <c r="F31" s="3">
        <f>tblMachineProduct[[#This Row],[Capacity_tph]]*3</f>
        <v/>
      </c>
      <c r="G31" s="3">
        <f>tblMachineProduct[[#This Row],[Capacity_tph]]*8</f>
        <v/>
      </c>
      <c r="H31" s="11" t="n">
        <v>40</v>
      </c>
    </row>
    <row r="32" ht="22" customHeight="1">
      <c r="A32" s="2" t="inlineStr">
        <is>
          <t>M004</t>
        </is>
      </c>
      <c r="B32" s="2" t="inlineStr">
        <is>
          <t>P001</t>
        </is>
      </c>
      <c r="C32" s="3" t="n">
        <v>0</v>
      </c>
      <c r="D32" s="3" t="n"/>
      <c r="E32" s="3" t="n">
        <v>0</v>
      </c>
      <c r="F32" s="3">
        <f>tblMachineProduct[[#This Row],[Capacity_tph]]*3</f>
        <v/>
      </c>
      <c r="G32" s="3">
        <f>tblMachineProduct[[#This Row],[Capacity_tph]]*8</f>
        <v/>
      </c>
      <c r="H32" s="11" t="n">
        <v>40</v>
      </c>
    </row>
    <row r="33" ht="22" customHeight="1">
      <c r="A33" s="2" t="inlineStr">
        <is>
          <t>M004</t>
        </is>
      </c>
      <c r="B33" s="2" t="inlineStr">
        <is>
          <t>P002</t>
        </is>
      </c>
      <c r="C33" s="3" t="n">
        <v>0</v>
      </c>
      <c r="D33" s="3" t="n"/>
      <c r="E33" s="3" t="n">
        <v>0</v>
      </c>
      <c r="F33" s="3">
        <f>tblMachineProduct[[#This Row],[Capacity_tph]]*3</f>
        <v/>
      </c>
      <c r="G33" s="3">
        <f>tblMachineProduct[[#This Row],[Capacity_tph]]*8</f>
        <v/>
      </c>
      <c r="H33" s="11" t="n">
        <v>40</v>
      </c>
    </row>
    <row r="34" ht="22" customHeight="1">
      <c r="A34" s="2" t="inlineStr">
        <is>
          <t>M004</t>
        </is>
      </c>
      <c r="B34" s="2" t="inlineStr">
        <is>
          <t>P003</t>
        </is>
      </c>
      <c r="C34" s="3" t="n">
        <v>1</v>
      </c>
      <c r="D34" s="3" t="n">
        <v>2</v>
      </c>
      <c r="E34" s="4" t="n">
        <v>0.35</v>
      </c>
      <c r="F34" s="3">
        <f>tblMachineProduct[[#This Row],[Capacity_tph]]*3</f>
        <v/>
      </c>
      <c r="G34" s="3">
        <f>tblMachineProduct[[#This Row],[Capacity_tph]]*8</f>
        <v/>
      </c>
      <c r="H34" s="11" t="n">
        <v>40</v>
      </c>
    </row>
    <row r="35" ht="22" customHeight="1">
      <c r="A35" s="2" t="inlineStr">
        <is>
          <t>M004</t>
        </is>
      </c>
      <c r="B35" s="2" t="inlineStr">
        <is>
          <t>P004</t>
        </is>
      </c>
      <c r="C35" s="3" t="n">
        <v>0</v>
      </c>
      <c r="D35" s="3" t="n"/>
      <c r="E35" s="3" t="n">
        <v>0</v>
      </c>
      <c r="F35" s="3">
        <f>tblMachineProduct[[#This Row],[Capacity_tph]]*3</f>
        <v/>
      </c>
      <c r="G35" s="3">
        <f>tblMachineProduct[[#This Row],[Capacity_tph]]*8</f>
        <v/>
      </c>
      <c r="H35" s="11" t="n">
        <v>40</v>
      </c>
    </row>
    <row r="36" ht="22" customHeight="1">
      <c r="A36" s="2" t="inlineStr">
        <is>
          <t>M004</t>
        </is>
      </c>
      <c r="B36" s="2" t="inlineStr">
        <is>
          <t>P005</t>
        </is>
      </c>
      <c r="C36" s="3" t="n">
        <v>0</v>
      </c>
      <c r="D36" s="3" t="n"/>
      <c r="E36" s="3" t="n">
        <v>0</v>
      </c>
      <c r="F36" s="3">
        <f>tblMachineProduct[[#This Row],[Capacity_tph]]*3</f>
        <v/>
      </c>
      <c r="G36" s="3">
        <f>tblMachineProduct[[#This Row],[Capacity_tph]]*8</f>
        <v/>
      </c>
      <c r="H36" s="11" t="n">
        <v>40</v>
      </c>
    </row>
    <row r="37" ht="22" customHeight="1">
      <c r="A37" s="2" t="inlineStr">
        <is>
          <t>M004</t>
        </is>
      </c>
      <c r="B37" s="2" t="inlineStr">
        <is>
          <t>P006</t>
        </is>
      </c>
      <c r="C37" s="3" t="n">
        <v>0</v>
      </c>
      <c r="D37" s="3" t="n"/>
      <c r="E37" s="3" t="n">
        <v>0</v>
      </c>
      <c r="F37" s="3">
        <f>tblMachineProduct[[#This Row],[Capacity_tph]]*3</f>
        <v/>
      </c>
      <c r="G37" s="3">
        <f>tblMachineProduct[[#This Row],[Capacity_tph]]*8</f>
        <v/>
      </c>
      <c r="H37" s="11" t="n">
        <v>40</v>
      </c>
    </row>
    <row r="38" ht="22" customHeight="1">
      <c r="A38" s="2" t="inlineStr">
        <is>
          <t>M004</t>
        </is>
      </c>
      <c r="B38" s="2" t="inlineStr">
        <is>
          <t>P007</t>
        </is>
      </c>
      <c r="C38" s="3" t="n">
        <v>0</v>
      </c>
      <c r="D38" s="3" t="n"/>
      <c r="E38" s="3" t="n">
        <v>0</v>
      </c>
      <c r="F38" s="3">
        <f>tblMachineProduct[[#This Row],[Capacity_tph]]*3</f>
        <v/>
      </c>
      <c r="G38" s="3">
        <f>tblMachineProduct[[#This Row],[Capacity_tph]]*8</f>
        <v/>
      </c>
      <c r="H38" s="11" t="n">
        <v>40</v>
      </c>
    </row>
    <row r="39" ht="22" customHeight="1">
      <c r="A39" s="2" t="inlineStr">
        <is>
          <t>M004</t>
        </is>
      </c>
      <c r="B39" s="2" t="inlineStr">
        <is>
          <t>P008</t>
        </is>
      </c>
      <c r="C39" s="3" t="n">
        <v>0</v>
      </c>
      <c r="D39" s="3" t="n"/>
      <c r="E39" s="3" t="n">
        <v>0</v>
      </c>
      <c r="F39" s="3">
        <f>tblMachineProduct[[#This Row],[Capacity_tph]]*3</f>
        <v/>
      </c>
      <c r="G39" s="3">
        <f>tblMachineProduct[[#This Row],[Capacity_tph]]*8</f>
        <v/>
      </c>
      <c r="H39" s="11" t="n">
        <v>40</v>
      </c>
    </row>
    <row r="40" ht="22" customHeight="1">
      <c r="A40" s="2" t="inlineStr">
        <is>
          <t>M004</t>
        </is>
      </c>
      <c r="B40" s="2" t="inlineStr">
        <is>
          <t>P009</t>
        </is>
      </c>
      <c r="C40" s="3" t="n">
        <v>0</v>
      </c>
      <c r="D40" s="3" t="n"/>
      <c r="E40" s="3" t="n">
        <v>0</v>
      </c>
      <c r="F40" s="3">
        <f>tblMachineProduct[[#This Row],[Capacity_tph]]*3</f>
        <v/>
      </c>
      <c r="G40" s="3">
        <f>tblMachineProduct[[#This Row],[Capacity_tph]]*8</f>
        <v/>
      </c>
      <c r="H40" s="11" t="n">
        <v>40</v>
      </c>
    </row>
    <row r="41" ht="22" customHeight="1">
      <c r="A41" s="2" t="inlineStr">
        <is>
          <t>M004</t>
        </is>
      </c>
      <c r="B41" s="2" t="inlineStr">
        <is>
          <t>P010</t>
        </is>
      </c>
      <c r="C41" s="3" t="n">
        <v>0</v>
      </c>
      <c r="D41" s="3" t="n"/>
      <c r="E41" s="3" t="n">
        <v>0</v>
      </c>
      <c r="F41" s="3">
        <f>tblMachineProduct[[#This Row],[Capacity_tph]]*3</f>
        <v/>
      </c>
      <c r="G41" s="3">
        <f>tblMachineProduct[[#This Row],[Capacity_tph]]*8</f>
        <v/>
      </c>
      <c r="H41" s="11" t="n">
        <v>40</v>
      </c>
    </row>
    <row r="42" ht="22" customHeight="1">
      <c r="A42" s="2" t="inlineStr">
        <is>
          <t>M005</t>
        </is>
      </c>
      <c r="B42" s="2" t="inlineStr">
        <is>
          <t>P001</t>
        </is>
      </c>
      <c r="C42" s="3" t="n">
        <v>0</v>
      </c>
      <c r="D42" s="3" t="n"/>
      <c r="E42" s="3" t="n">
        <v>0</v>
      </c>
      <c r="F42" s="3">
        <f>tblMachineProduct[[#This Row],[Capacity_tph]]*3</f>
        <v/>
      </c>
      <c r="G42" s="3">
        <f>tblMachineProduct[[#This Row],[Capacity_tph]]*8</f>
        <v/>
      </c>
      <c r="H42" s="11" t="n">
        <v>40</v>
      </c>
    </row>
    <row r="43" ht="22" customHeight="1">
      <c r="A43" s="2" t="inlineStr">
        <is>
          <t>M005</t>
        </is>
      </c>
      <c r="B43" s="2" t="inlineStr">
        <is>
          <t>P002</t>
        </is>
      </c>
      <c r="C43" s="3" t="n">
        <v>0</v>
      </c>
      <c r="D43" s="3" t="n"/>
      <c r="E43" s="3" t="n">
        <v>0</v>
      </c>
      <c r="F43" s="3">
        <f>tblMachineProduct[[#This Row],[Capacity_tph]]*3</f>
        <v/>
      </c>
      <c r="G43" s="3">
        <f>tblMachineProduct[[#This Row],[Capacity_tph]]*8</f>
        <v/>
      </c>
      <c r="H43" s="11" t="n">
        <v>40</v>
      </c>
    </row>
    <row r="44" ht="22" customHeight="1">
      <c r="A44" s="2" t="inlineStr">
        <is>
          <t>M005</t>
        </is>
      </c>
      <c r="B44" s="2" t="inlineStr">
        <is>
          <t>P003</t>
        </is>
      </c>
      <c r="C44" s="3" t="n">
        <v>0</v>
      </c>
      <c r="D44" s="3" t="n"/>
      <c r="E44" s="3" t="n">
        <v>0</v>
      </c>
      <c r="F44" s="3">
        <f>tblMachineProduct[[#This Row],[Capacity_tph]]*3</f>
        <v/>
      </c>
      <c r="G44" s="3">
        <f>tblMachineProduct[[#This Row],[Capacity_tph]]*8</f>
        <v/>
      </c>
      <c r="H44" s="11" t="n">
        <v>40</v>
      </c>
    </row>
    <row r="45" ht="22" customHeight="1">
      <c r="A45" s="2" t="inlineStr">
        <is>
          <t>M005</t>
        </is>
      </c>
      <c r="B45" s="2" t="inlineStr">
        <is>
          <t>P004</t>
        </is>
      </c>
      <c r="C45" s="3" t="n">
        <v>1</v>
      </c>
      <c r="D45" s="3" t="n">
        <v>2</v>
      </c>
      <c r="E45" s="4" t="n">
        <v>0.9</v>
      </c>
      <c r="F45" s="3">
        <f>tblMachineProduct[[#This Row],[Capacity_tph]]*3</f>
        <v/>
      </c>
      <c r="G45" s="3">
        <f>tblMachineProduct[[#This Row],[Capacity_tph]]*8</f>
        <v/>
      </c>
      <c r="H45" s="11" t="n">
        <v>40</v>
      </c>
    </row>
    <row r="46" ht="22" customHeight="1">
      <c r="A46" s="2" t="inlineStr">
        <is>
          <t>M005</t>
        </is>
      </c>
      <c r="B46" s="2" t="inlineStr">
        <is>
          <t>P005</t>
        </is>
      </c>
      <c r="C46" s="3" t="n">
        <v>1</v>
      </c>
      <c r="D46" s="3" t="n">
        <v>2</v>
      </c>
      <c r="E46" s="4" t="n">
        <v>1.1</v>
      </c>
      <c r="F46" s="3">
        <f>tblMachineProduct[[#This Row],[Capacity_tph]]*3</f>
        <v/>
      </c>
      <c r="G46" s="3">
        <f>tblMachineProduct[[#This Row],[Capacity_tph]]*8</f>
        <v/>
      </c>
      <c r="H46" s="11" t="n">
        <v>40</v>
      </c>
    </row>
    <row r="47" ht="22" customHeight="1">
      <c r="A47" s="2" t="inlineStr">
        <is>
          <t>M005</t>
        </is>
      </c>
      <c r="B47" s="2" t="inlineStr">
        <is>
          <t>P006</t>
        </is>
      </c>
      <c r="C47" s="3" t="n">
        <v>1</v>
      </c>
      <c r="D47" s="3" t="n">
        <v>1</v>
      </c>
      <c r="E47" s="4" t="n">
        <v>1.6</v>
      </c>
      <c r="F47" s="3">
        <f>tblMachineProduct[[#This Row],[Capacity_tph]]*3</f>
        <v/>
      </c>
      <c r="G47" s="3">
        <f>tblMachineProduct[[#This Row],[Capacity_tph]]*8</f>
        <v/>
      </c>
      <c r="H47" s="11" t="n">
        <v>40</v>
      </c>
    </row>
    <row r="48" ht="22" customHeight="1">
      <c r="A48" s="2" t="inlineStr">
        <is>
          <t>M005</t>
        </is>
      </c>
      <c r="B48" s="2" t="inlineStr">
        <is>
          <t>P007</t>
        </is>
      </c>
      <c r="C48" s="3" t="n">
        <v>1</v>
      </c>
      <c r="D48" s="3" t="n">
        <v>1</v>
      </c>
      <c r="E48" s="4" t="n">
        <v>1.1</v>
      </c>
      <c r="F48" s="3">
        <f>tblMachineProduct[[#This Row],[Capacity_tph]]*3</f>
        <v/>
      </c>
      <c r="G48" s="3">
        <f>tblMachineProduct[[#This Row],[Capacity_tph]]*8</f>
        <v/>
      </c>
      <c r="H48" s="11" t="n">
        <v>40</v>
      </c>
    </row>
    <row r="49" ht="22" customHeight="1">
      <c r="A49" s="2" t="inlineStr">
        <is>
          <t>M005</t>
        </is>
      </c>
      <c r="B49" s="2" t="inlineStr">
        <is>
          <t>P008</t>
        </is>
      </c>
      <c r="C49" s="3" t="n">
        <v>0</v>
      </c>
      <c r="D49" s="3" t="n"/>
      <c r="E49" s="3" t="n">
        <v>0</v>
      </c>
      <c r="F49" s="3">
        <f>tblMachineProduct[[#This Row],[Capacity_tph]]*3</f>
        <v/>
      </c>
      <c r="G49" s="3">
        <f>tblMachineProduct[[#This Row],[Capacity_tph]]*8</f>
        <v/>
      </c>
      <c r="H49" s="11" t="n">
        <v>40</v>
      </c>
    </row>
    <row r="50" ht="22" customHeight="1">
      <c r="A50" s="2" t="inlineStr">
        <is>
          <t>M005</t>
        </is>
      </c>
      <c r="B50" s="2" t="inlineStr">
        <is>
          <t>P009</t>
        </is>
      </c>
      <c r="C50" s="3" t="n">
        <v>0</v>
      </c>
      <c r="D50" s="3" t="n"/>
      <c r="E50" s="3" t="n">
        <v>0</v>
      </c>
      <c r="F50" s="3">
        <f>tblMachineProduct[[#This Row],[Capacity_tph]]*3</f>
        <v/>
      </c>
      <c r="G50" s="3">
        <f>tblMachineProduct[[#This Row],[Capacity_tph]]*8</f>
        <v/>
      </c>
      <c r="H50" s="11" t="n">
        <v>40</v>
      </c>
    </row>
    <row r="51" ht="22" customHeight="1">
      <c r="A51" s="2" t="inlineStr">
        <is>
          <t>M005</t>
        </is>
      </c>
      <c r="B51" s="2" t="inlineStr">
        <is>
          <t>P010</t>
        </is>
      </c>
      <c r="C51" s="3" t="n">
        <v>1</v>
      </c>
      <c r="D51" s="3" t="n">
        <v>1</v>
      </c>
      <c r="E51" s="3" t="n">
        <v>1</v>
      </c>
      <c r="F51" s="3">
        <f>tblMachineProduct[[#This Row],[Capacity_tph]]*3</f>
        <v/>
      </c>
      <c r="G51" s="3">
        <f>tblMachineProduct[[#This Row],[Capacity_tph]]*8</f>
        <v/>
      </c>
      <c r="H51" s="11" t="n">
        <v>40</v>
      </c>
    </row>
  </sheetData>
  <conditionalFormatting sqref="A2:A1001">
    <cfRule type="expression" priority="1" dxfId="0">
      <formula>AND(A2&lt;&gt;"",COUNTIFS($A$2:$A$1001,A2,$B$2:$B$1001,B2)&gt;1)</formula>
    </cfRule>
  </conditionalFormatting>
  <dataValidations count="7">
    <dataValidation sqref="A2:A1001" showDropDown="0" showInputMessage="0" showErrorMessage="1" allowBlank="0" errorTitle="Invalid input" error="Choose a value from the list." type="list">
      <formula1>Machine_IDs</formula1>
    </dataValidation>
    <dataValidation sqref="B2:B1001" showDropDown="0" showInputMessage="0" showErrorMessage="1" allowBlank="0" errorTitle="Invalid input" error="Choose a value from the list." type="list">
      <formula1>Product_IDs</formula1>
    </dataValidation>
    <dataValidation sqref="C2:C1001" showDropDown="0" showInputMessage="0" showErrorMessage="1" allowBlank="0" errorTitle="Invalid input" error="Choose a value from the list." type="list">
      <formula1>"0,1"</formula1>
    </dataValidation>
    <dataValidation sqref="D2:D1001" showDropDown="0" showInputMessage="0" showErrorMessage="1" allowBlank="1" errorTitle="Invalid numeric input" error="Enter a valid nonnegative number or a value within the allowed limits." type="whole" operator="greaterThanOrEqual">
      <formula1>1</formula1>
    </dataValidation>
    <dataValidation sqref="E2:E1001" showDropDown="0" showInputMessage="0" showErrorMessage="1" allowBlank="0" errorTitle="Input consistency" error="Allowed=1 requires positive capacity." type="custom">
      <formula1>AND(ISNUMBER(E2),IF(C2=1,E2&gt;0,E2&gt;=0))</formula1>
    </dataValidation>
    <dataValidation sqref="F2:G1001" showDropDown="0" showInputMessage="0" showErrorMessage="1" allowBlank="0" errorTitle="Invalid numeric input" error="Enter a valid nonnegative number or a value within the allowed limits." type="decimal" operator="greaterThanOrEqual">
      <formula1>0</formula1>
    </dataValidation>
    <dataValidation sqref="H2:H1001" showDropDown="0" showInputMessage="0" showErrorMessage="1" allowBlank="1" errorTitle="Invalid numeric input" error="Enter a valid nonnegative number or a value within the allowed limits." type="decimal" operator="greaterThanOrEqual">
      <formula1>0</formula1>
    </dataValidation>
  </dataValidations>
  <printOptions horizontalCentered="1"/>
  <pageMargins left="0.75" right="0.75" top="1" bottom="1" header="0.5" footer="0.5"/>
  <pageSetup orientation="landscape" paperSize="9" fitToHeight="0"/>
  <headerFooter>
    <oddHeader/>
    <oddFooter>&amp;CProduction planning input | v6&amp;RPage &amp;P / &amp;N</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E11"/>
  <sheetViews>
    <sheetView showGridLines="0" workbookViewId="0">
      <pane ySplit="1" topLeftCell="A2" activePane="bottomLeft" state="frozen"/>
      <selection pane="bottomLeft" activeCell="A1" sqref="A1"/>
    </sheetView>
  </sheetViews>
  <sheetFormatPr baseColWidth="8" defaultRowHeight="14.5"/>
  <cols>
    <col width="14.81640625" bestFit="1" customWidth="1" min="1" max="1"/>
    <col width="31" bestFit="1" customWidth="1" min="2" max="2"/>
    <col width="12.453125" bestFit="1" customWidth="1" min="3" max="3"/>
    <col width="16.90625" bestFit="1" customWidth="1" min="4" max="4"/>
    <col width="17.90625" bestFit="1" customWidth="1" min="5" max="5"/>
  </cols>
  <sheetData>
    <row r="1" ht="30" customHeight="1">
      <c r="A1" s="1" t="inlineStr">
        <is>
          <t>Product_ID</t>
        </is>
      </c>
      <c r="B1" s="1" t="inlineStr">
        <is>
          <t>Product</t>
        </is>
      </c>
      <c r="C1" s="1" t="inlineStr">
        <is>
          <t>Target_t</t>
        </is>
      </c>
      <c r="D1" s="1" t="inlineStr">
        <is>
          <t>TargetPriority</t>
        </is>
      </c>
      <c r="E1" s="1" t="inlineStr">
        <is>
          <t>TargetMode</t>
        </is>
      </c>
    </row>
    <row r="2" ht="22" customHeight="1">
      <c r="A2" s="2" t="inlineStr">
        <is>
          <t>P001</t>
        </is>
      </c>
      <c r="B2" s="3" t="inlineStr">
        <is>
          <t>Ayçekirdeği tuzsuz</t>
        </is>
      </c>
      <c r="C2" s="9" t="n">
        <v>40</v>
      </c>
      <c r="D2" s="3" t="n">
        <v>1</v>
      </c>
      <c r="E2" s="3" t="inlineStr">
        <is>
          <t>SOFT</t>
        </is>
      </c>
    </row>
    <row r="3" ht="22" customHeight="1">
      <c r="A3" s="2" t="inlineStr">
        <is>
          <t>P002</t>
        </is>
      </c>
      <c r="B3" s="3" t="inlineStr">
        <is>
          <t>Ayçekirdeği tuzlu</t>
        </is>
      </c>
      <c r="C3" s="9" t="n">
        <v>40</v>
      </c>
      <c r="D3" s="3" t="n">
        <v>1</v>
      </c>
      <c r="E3" s="3" t="inlineStr">
        <is>
          <t>SOFT</t>
        </is>
      </c>
    </row>
    <row r="4" ht="22" customHeight="1">
      <c r="A4" s="2" t="inlineStr">
        <is>
          <t>P003</t>
        </is>
      </c>
      <c r="B4" s="3" t="inlineStr">
        <is>
          <t>Kabak Nevşehir (salamura)</t>
        </is>
      </c>
      <c r="C4" s="9" t="n">
        <v>15</v>
      </c>
      <c r="D4" s="3" t="n">
        <v>1</v>
      </c>
      <c r="E4" s="3" t="inlineStr">
        <is>
          <t>SOFT</t>
        </is>
      </c>
    </row>
    <row r="5" ht="22" customHeight="1">
      <c r="A5" s="2" t="inlineStr">
        <is>
          <t>P004</t>
        </is>
      </c>
      <c r="B5" s="3" t="inlineStr">
        <is>
          <t>Kabak Kav. Tuzsuz</t>
        </is>
      </c>
      <c r="C5" s="9" t="n">
        <v>10</v>
      </c>
      <c r="D5" s="3" t="n">
        <v>1</v>
      </c>
      <c r="E5" s="3" t="inlineStr">
        <is>
          <t>SOFT</t>
        </is>
      </c>
    </row>
    <row r="6" ht="22" customHeight="1">
      <c r="A6" s="2" t="inlineStr">
        <is>
          <t>P005</t>
        </is>
      </c>
      <c r="B6" s="3" t="inlineStr">
        <is>
          <t>Kabak Çifte Kav.</t>
        </is>
      </c>
      <c r="C6" s="9" t="n">
        <v>15</v>
      </c>
      <c r="D6" s="3" t="n">
        <v>1</v>
      </c>
      <c r="E6" s="3" t="inlineStr">
        <is>
          <t>SOFT</t>
        </is>
      </c>
    </row>
    <row r="7" ht="22" customHeight="1">
      <c r="A7" s="2" t="inlineStr">
        <is>
          <t>P006</t>
        </is>
      </c>
      <c r="B7" s="3" t="inlineStr">
        <is>
          <t>Badem kavurma</t>
        </is>
      </c>
      <c r="C7" s="9" t="n">
        <v>20</v>
      </c>
      <c r="D7" s="3" t="n">
        <v>1</v>
      </c>
      <c r="E7" s="3" t="inlineStr">
        <is>
          <t>SOFT</t>
        </is>
      </c>
    </row>
    <row r="8" ht="22" customHeight="1">
      <c r="A8" s="2" t="inlineStr">
        <is>
          <t>P007</t>
        </is>
      </c>
      <c r="B8" s="3" t="inlineStr">
        <is>
          <t>Kaju kavurma</t>
        </is>
      </c>
      <c r="C8" s="9" t="n">
        <v>15</v>
      </c>
      <c r="D8" s="3" t="n">
        <v>1</v>
      </c>
      <c r="E8" s="3" t="inlineStr">
        <is>
          <t>SOFT</t>
        </is>
      </c>
    </row>
    <row r="9" ht="22" customHeight="1">
      <c r="A9" s="2" t="inlineStr">
        <is>
          <t>P008</t>
        </is>
      </c>
      <c r="B9" s="3" t="inlineStr">
        <is>
          <t>Fıstık Tuzlu Lüks</t>
        </is>
      </c>
      <c r="C9" s="9" t="n">
        <v>25</v>
      </c>
      <c r="D9" s="3" t="n">
        <v>1</v>
      </c>
      <c r="E9" s="3" t="inlineStr">
        <is>
          <t>SOFT</t>
        </is>
      </c>
    </row>
    <row r="10" ht="22" customHeight="1">
      <c r="A10" s="2" t="inlineStr">
        <is>
          <t>P009</t>
        </is>
      </c>
      <c r="B10" s="3" t="inlineStr">
        <is>
          <t>Fıstık Tuzsuz Lüks</t>
        </is>
      </c>
      <c r="C10" s="9" t="n">
        <v>20</v>
      </c>
      <c r="D10" s="3" t="n">
        <v>1</v>
      </c>
      <c r="E10" s="3" t="inlineStr">
        <is>
          <t>SOFT</t>
        </is>
      </c>
    </row>
    <row r="11" ht="22" customHeight="1">
      <c r="A11" s="2" t="inlineStr">
        <is>
          <t>P010</t>
        </is>
      </c>
      <c r="B11" s="3" t="inlineStr">
        <is>
          <t>Fıstık Kabuklu</t>
        </is>
      </c>
      <c r="C11" s="10" t="n">
        <v>5</v>
      </c>
      <c r="D11" t="n">
        <v>1</v>
      </c>
      <c r="E11" t="inlineStr">
        <is>
          <t>SOFT</t>
        </is>
      </c>
    </row>
  </sheetData>
  <autoFilter ref="A1:E11"/>
  <conditionalFormatting sqref="A2:A1001">
    <cfRule type="expression" priority="1" dxfId="0">
      <formula>AND(A2&lt;&gt;"",COUNTIF($A$2:$A$1001,A2)&gt;1)</formula>
    </cfRule>
  </conditionalFormatting>
  <dataValidations count="4">
    <dataValidation sqref="A2:A1001" showDropDown="0" showInputMessage="0" showErrorMessage="1" allowBlank="0" errorTitle="Invalid input" error="Choose a value from the list." type="list">
      <formula1>Product_IDs</formula1>
    </dataValidation>
    <dataValidation sqref="C2:C1001" showDropDown="0" showInputMessage="0" showErrorMessage="1" allowBlank="0" errorTitle="Invalid numeric input" error="Enter a valid nonnegative number or a value within the allowed limits." type="decimal" operator="greaterThanOrEqual">
      <formula1>0</formula1>
    </dataValidation>
    <dataValidation sqref="D2:D1001" showDropDown="0" showInputMessage="0" showErrorMessage="1" allowBlank="0" errorTitle="Invalid numeric input" error="Enter a valid nonnegative number or a value within the allowed limits." type="whole" operator="greaterThanOrEqual">
      <formula1>1</formula1>
    </dataValidation>
    <dataValidation sqref="E2:E1001" showDropDown="0" showInputMessage="1" showErrorMessage="1" allowBlank="0" errorTitle="Invalid input" error="Choose a value from the list." promptTitle="Input definition" prompt="SOFT reports unmet; HARD requires full target. Tolerance does not relax HARD." type="list">
      <formula1>"SOFT,HARD"</formula1>
    </dataValidation>
  </dataValidations>
  <printOptions horizontalCentered="1"/>
  <pageMargins left="0.75" right="0.75" top="1" bottom="1" header="0.5" footer="0.5"/>
  <pageSetup orientation="landscape" paperSize="9" fitToHeight="0"/>
  <headerFooter>
    <oddHeader/>
    <oddFooter>&amp;CProduction planning input | v6&amp;RPage &amp;P /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F61"/>
  <sheetViews>
    <sheetView showGridLines="0" workbookViewId="0">
      <pane ySplit="1" topLeftCell="A2" activePane="bottomLeft" state="frozen"/>
      <selection pane="bottomLeft" activeCell="A1" sqref="A1"/>
    </sheetView>
  </sheetViews>
  <sheetFormatPr baseColWidth="8" defaultRowHeight="14.5"/>
  <cols>
    <col width="13" customWidth="1" min="1" max="1"/>
    <col width="12" customWidth="1" min="2" max="2"/>
    <col width="10" customWidth="1" min="3" max="3"/>
    <col width="12" customWidth="1" min="4" max="4"/>
    <col width="10" customWidth="1" min="5" max="5"/>
    <col width="24" customWidth="1" min="6" max="6"/>
  </cols>
  <sheetData>
    <row r="1" ht="30" customHeight="1">
      <c r="A1" s="1" t="inlineStr">
        <is>
          <t>Machine_ID</t>
        </is>
      </c>
      <c r="B1" s="1" t="inlineStr">
        <is>
          <t>Day</t>
        </is>
      </c>
      <c r="C1" s="1" t="inlineStr">
        <is>
          <t>Shift</t>
        </is>
      </c>
      <c r="D1" s="1" t="inlineStr">
        <is>
          <t>Available</t>
        </is>
      </c>
      <c r="E1" s="1" t="inlineStr">
        <is>
          <t>Hours</t>
        </is>
      </c>
      <c r="F1" s="1" t="inlineStr">
        <is>
          <t>Reason</t>
        </is>
      </c>
    </row>
    <row r="2" ht="22" customHeight="1">
      <c r="A2" s="2" t="inlineStr">
        <is>
          <t>M001</t>
        </is>
      </c>
      <c r="B2" s="3" t="inlineStr">
        <is>
          <t>Day-1</t>
        </is>
      </c>
      <c r="C2" s="3" t="n">
        <v>1</v>
      </c>
      <c r="D2" s="3" t="n">
        <v>1</v>
      </c>
      <c r="E2" s="3" t="n">
        <v>4</v>
      </c>
      <c r="F2" s="3" t="inlineStr">
        <is>
          <t>Normal</t>
        </is>
      </c>
    </row>
    <row r="3" ht="22" customHeight="1">
      <c r="A3" s="2" t="inlineStr">
        <is>
          <t>M001</t>
        </is>
      </c>
      <c r="B3" s="3" t="inlineStr">
        <is>
          <t>Day-1</t>
        </is>
      </c>
      <c r="C3" s="3" t="n">
        <v>2</v>
      </c>
      <c r="D3" s="3" t="n">
        <v>1</v>
      </c>
      <c r="E3" s="3" t="n">
        <v>4</v>
      </c>
      <c r="F3" s="3" t="inlineStr">
        <is>
          <t>Normal</t>
        </is>
      </c>
    </row>
    <row r="4" ht="22" customHeight="1">
      <c r="A4" s="2" t="inlineStr">
        <is>
          <t>M001</t>
        </is>
      </c>
      <c r="B4" s="3" t="inlineStr">
        <is>
          <t>Day-2</t>
        </is>
      </c>
      <c r="C4" s="3" t="n">
        <v>1</v>
      </c>
      <c r="D4" s="3" t="n">
        <v>1</v>
      </c>
      <c r="E4" s="3" t="n">
        <v>4</v>
      </c>
      <c r="F4" s="3" t="inlineStr">
        <is>
          <t>Normal</t>
        </is>
      </c>
    </row>
    <row r="5" ht="22" customHeight="1">
      <c r="A5" s="2" t="inlineStr">
        <is>
          <t>M001</t>
        </is>
      </c>
      <c r="B5" s="3" t="inlineStr">
        <is>
          <t>Day-2</t>
        </is>
      </c>
      <c r="C5" s="3" t="n">
        <v>2</v>
      </c>
      <c r="D5" s="3" t="n">
        <v>1</v>
      </c>
      <c r="E5" s="3" t="n">
        <v>4</v>
      </c>
      <c r="F5" s="3" t="inlineStr">
        <is>
          <t>Normal</t>
        </is>
      </c>
    </row>
    <row r="6" ht="22" customHeight="1">
      <c r="A6" s="2" t="inlineStr">
        <is>
          <t>M001</t>
        </is>
      </c>
      <c r="B6" s="3" t="inlineStr">
        <is>
          <t>Day-3</t>
        </is>
      </c>
      <c r="C6" s="3" t="n">
        <v>1</v>
      </c>
      <c r="D6" s="3" t="n">
        <v>1</v>
      </c>
      <c r="E6" s="3" t="n">
        <v>4</v>
      </c>
      <c r="F6" s="3" t="inlineStr">
        <is>
          <t>Normal</t>
        </is>
      </c>
    </row>
    <row r="7" ht="22" customHeight="1">
      <c r="A7" s="2" t="inlineStr">
        <is>
          <t>M001</t>
        </is>
      </c>
      <c r="B7" s="3" t="inlineStr">
        <is>
          <t>Day-3</t>
        </is>
      </c>
      <c r="C7" s="3" t="n">
        <v>2</v>
      </c>
      <c r="D7" s="3" t="n">
        <v>1</v>
      </c>
      <c r="E7" s="3" t="n">
        <v>4</v>
      </c>
      <c r="F7" s="3" t="inlineStr">
        <is>
          <t>Normal</t>
        </is>
      </c>
    </row>
    <row r="8" ht="22" customHeight="1">
      <c r="A8" s="2" t="inlineStr">
        <is>
          <t>M001</t>
        </is>
      </c>
      <c r="B8" s="3" t="inlineStr">
        <is>
          <t>Day-4</t>
        </is>
      </c>
      <c r="C8" s="3" t="n">
        <v>1</v>
      </c>
      <c r="D8" s="3" t="n">
        <v>1</v>
      </c>
      <c r="E8" s="3" t="n">
        <v>4</v>
      </c>
      <c r="F8" s="3" t="inlineStr">
        <is>
          <t>Normal</t>
        </is>
      </c>
    </row>
    <row r="9" ht="22" customHeight="1">
      <c r="A9" s="2" t="inlineStr">
        <is>
          <t>M001</t>
        </is>
      </c>
      <c r="B9" s="3" t="inlineStr">
        <is>
          <t>Day-4</t>
        </is>
      </c>
      <c r="C9" s="3" t="n">
        <v>2</v>
      </c>
      <c r="D9" s="3" t="n">
        <v>1</v>
      </c>
      <c r="E9" s="3" t="n">
        <v>4</v>
      </c>
      <c r="F9" s="3" t="inlineStr">
        <is>
          <t>Normal</t>
        </is>
      </c>
    </row>
    <row r="10" ht="22" customHeight="1">
      <c r="A10" s="2" t="inlineStr">
        <is>
          <t>M001</t>
        </is>
      </c>
      <c r="B10" s="3" t="inlineStr">
        <is>
          <t>Day-5</t>
        </is>
      </c>
      <c r="C10" s="3" t="n">
        <v>1</v>
      </c>
      <c r="D10" s="3" t="n">
        <v>1</v>
      </c>
      <c r="E10" s="3" t="n">
        <v>4</v>
      </c>
      <c r="F10" s="3" t="inlineStr">
        <is>
          <t>Normal</t>
        </is>
      </c>
    </row>
    <row r="11" ht="22" customHeight="1">
      <c r="A11" s="2" t="inlineStr">
        <is>
          <t>M001</t>
        </is>
      </c>
      <c r="B11" s="3" t="inlineStr">
        <is>
          <t>Day-5</t>
        </is>
      </c>
      <c r="C11" s="3" t="n">
        <v>2</v>
      </c>
      <c r="D11" s="3" t="n">
        <v>0</v>
      </c>
      <c r="E11" s="3" t="n">
        <v>0</v>
      </c>
      <c r="F11" s="3" t="inlineStr">
        <is>
          <t>General cleaning</t>
        </is>
      </c>
    </row>
    <row r="12" ht="22" customHeight="1">
      <c r="A12" s="2" t="inlineStr">
        <is>
          <t>M001</t>
        </is>
      </c>
      <c r="B12" s="3" t="inlineStr">
        <is>
          <t>Day-6</t>
        </is>
      </c>
      <c r="C12" s="3" t="n">
        <v>1</v>
      </c>
      <c r="D12" s="3" t="n">
        <v>1</v>
      </c>
      <c r="E12" s="3" t="n">
        <v>4</v>
      </c>
      <c r="F12" s="3" t="inlineStr">
        <is>
          <t>Normal</t>
        </is>
      </c>
    </row>
    <row r="13" ht="22" customHeight="1">
      <c r="A13" s="2" t="inlineStr">
        <is>
          <t>M001</t>
        </is>
      </c>
      <c r="B13" s="3" t="inlineStr">
        <is>
          <t>Day-6</t>
        </is>
      </c>
      <c r="C13" s="3" t="n">
        <v>2</v>
      </c>
      <c r="D13" s="3" t="n">
        <v>1</v>
      </c>
      <c r="E13" s="3" t="n">
        <v>4</v>
      </c>
      <c r="F13" s="3" t="inlineStr">
        <is>
          <t>Normal</t>
        </is>
      </c>
    </row>
    <row r="14" ht="22" customHeight="1">
      <c r="A14" s="2" t="inlineStr">
        <is>
          <t>M002</t>
        </is>
      </c>
      <c r="B14" s="3" t="inlineStr">
        <is>
          <t>Day-1</t>
        </is>
      </c>
      <c r="C14" s="3" t="n">
        <v>1</v>
      </c>
      <c r="D14" s="3" t="n">
        <v>1</v>
      </c>
      <c r="E14" s="3" t="n">
        <v>4</v>
      </c>
      <c r="F14" s="3" t="inlineStr">
        <is>
          <t>Normal</t>
        </is>
      </c>
    </row>
    <row r="15" ht="22" customHeight="1">
      <c r="A15" s="2" t="inlineStr">
        <is>
          <t>M002</t>
        </is>
      </c>
      <c r="B15" s="3" t="inlineStr">
        <is>
          <t>Day-1</t>
        </is>
      </c>
      <c r="C15" s="3" t="n">
        <v>2</v>
      </c>
      <c r="D15" s="3" t="n">
        <v>1</v>
      </c>
      <c r="E15" s="3" t="n">
        <v>4</v>
      </c>
      <c r="F15" s="3" t="inlineStr">
        <is>
          <t>Normal</t>
        </is>
      </c>
    </row>
    <row r="16" ht="22" customHeight="1">
      <c r="A16" s="2" t="inlineStr">
        <is>
          <t>M002</t>
        </is>
      </c>
      <c r="B16" s="3" t="inlineStr">
        <is>
          <t>Day-2</t>
        </is>
      </c>
      <c r="C16" s="3" t="n">
        <v>1</v>
      </c>
      <c r="D16" s="3" t="n">
        <v>1</v>
      </c>
      <c r="E16" s="3" t="n">
        <v>4</v>
      </c>
      <c r="F16" s="3" t="inlineStr">
        <is>
          <t>Normal</t>
        </is>
      </c>
    </row>
    <row r="17" ht="22" customHeight="1">
      <c r="A17" s="2" t="inlineStr">
        <is>
          <t>M002</t>
        </is>
      </c>
      <c r="B17" s="3" t="inlineStr">
        <is>
          <t>Day-2</t>
        </is>
      </c>
      <c r="C17" s="3" t="n">
        <v>2</v>
      </c>
      <c r="D17" s="3" t="n">
        <v>1</v>
      </c>
      <c r="E17" s="3" t="n">
        <v>4</v>
      </c>
      <c r="F17" s="3" t="inlineStr">
        <is>
          <t>Normal</t>
        </is>
      </c>
    </row>
    <row r="18" ht="22" customHeight="1">
      <c r="A18" s="2" t="inlineStr">
        <is>
          <t>M002</t>
        </is>
      </c>
      <c r="B18" s="3" t="inlineStr">
        <is>
          <t>Day-3</t>
        </is>
      </c>
      <c r="C18" s="3" t="n">
        <v>1</v>
      </c>
      <c r="D18" s="3" t="n">
        <v>1</v>
      </c>
      <c r="E18" s="3" t="n">
        <v>4</v>
      </c>
      <c r="F18" s="3" t="inlineStr">
        <is>
          <t>Normal</t>
        </is>
      </c>
    </row>
    <row r="19" ht="22" customHeight="1">
      <c r="A19" s="2" t="inlineStr">
        <is>
          <t>M002</t>
        </is>
      </c>
      <c r="B19" s="3" t="inlineStr">
        <is>
          <t>Day-3</t>
        </is>
      </c>
      <c r="C19" s="3" t="n">
        <v>2</v>
      </c>
      <c r="D19" s="3" t="n">
        <v>1</v>
      </c>
      <c r="E19" s="3" t="n">
        <v>4</v>
      </c>
      <c r="F19" s="3" t="inlineStr">
        <is>
          <t>Normal</t>
        </is>
      </c>
    </row>
    <row r="20" ht="22" customHeight="1">
      <c r="A20" s="2" t="inlineStr">
        <is>
          <t>M002</t>
        </is>
      </c>
      <c r="B20" s="3" t="inlineStr">
        <is>
          <t>Day-4</t>
        </is>
      </c>
      <c r="C20" s="3" t="n">
        <v>1</v>
      </c>
      <c r="D20" s="3" t="n">
        <v>1</v>
      </c>
      <c r="E20" s="3" t="n">
        <v>4</v>
      </c>
      <c r="F20" s="3" t="inlineStr">
        <is>
          <t>Normal</t>
        </is>
      </c>
    </row>
    <row r="21" ht="22" customHeight="1">
      <c r="A21" s="2" t="inlineStr">
        <is>
          <t>M002</t>
        </is>
      </c>
      <c r="B21" s="3" t="inlineStr">
        <is>
          <t>Day-4</t>
        </is>
      </c>
      <c r="C21" s="3" t="n">
        <v>2</v>
      </c>
      <c r="D21" s="3" t="n">
        <v>1</v>
      </c>
      <c r="E21" s="3" t="n">
        <v>4</v>
      </c>
      <c r="F21" s="3" t="inlineStr">
        <is>
          <t>Normal</t>
        </is>
      </c>
    </row>
    <row r="22" ht="22" customHeight="1">
      <c r="A22" s="2" t="inlineStr">
        <is>
          <t>M002</t>
        </is>
      </c>
      <c r="B22" s="3" t="inlineStr">
        <is>
          <t>Day-5</t>
        </is>
      </c>
      <c r="C22" s="3" t="n">
        <v>1</v>
      </c>
      <c r="D22" s="3" t="n">
        <v>1</v>
      </c>
      <c r="E22" s="3" t="n">
        <v>4</v>
      </c>
      <c r="F22" s="3" t="inlineStr">
        <is>
          <t>Normal</t>
        </is>
      </c>
    </row>
    <row r="23" ht="22" customHeight="1">
      <c r="A23" s="2" t="inlineStr">
        <is>
          <t>M002</t>
        </is>
      </c>
      <c r="B23" s="3" t="inlineStr">
        <is>
          <t>Day-5</t>
        </is>
      </c>
      <c r="C23" s="3" t="n">
        <v>2</v>
      </c>
      <c r="D23" s="3" t="n">
        <v>0</v>
      </c>
      <c r="E23" s="3" t="n">
        <v>0</v>
      </c>
      <c r="F23" s="3" t="inlineStr">
        <is>
          <t>General cleaning</t>
        </is>
      </c>
    </row>
    <row r="24" ht="22" customHeight="1">
      <c r="A24" s="2" t="inlineStr">
        <is>
          <t>M002</t>
        </is>
      </c>
      <c r="B24" s="3" t="inlineStr">
        <is>
          <t>Day-6</t>
        </is>
      </c>
      <c r="C24" s="3" t="n">
        <v>1</v>
      </c>
      <c r="D24" s="3" t="n">
        <v>1</v>
      </c>
      <c r="E24" s="3" t="n">
        <v>4</v>
      </c>
      <c r="F24" s="3" t="inlineStr">
        <is>
          <t>Normal</t>
        </is>
      </c>
    </row>
    <row r="25" ht="22" customHeight="1">
      <c r="A25" s="2" t="inlineStr">
        <is>
          <t>M002</t>
        </is>
      </c>
      <c r="B25" s="3" t="inlineStr">
        <is>
          <t>Day-6</t>
        </is>
      </c>
      <c r="C25" s="3" t="n">
        <v>2</v>
      </c>
      <c r="D25" s="3" t="n">
        <v>1</v>
      </c>
      <c r="E25" s="3" t="n">
        <v>4</v>
      </c>
      <c r="F25" s="3" t="inlineStr">
        <is>
          <t>Normal</t>
        </is>
      </c>
    </row>
    <row r="26" ht="22" customHeight="1">
      <c r="A26" s="2" t="inlineStr">
        <is>
          <t>M003</t>
        </is>
      </c>
      <c r="B26" s="3" t="inlineStr">
        <is>
          <t>Day-1</t>
        </is>
      </c>
      <c r="C26" s="3" t="n">
        <v>1</v>
      </c>
      <c r="D26" s="3" t="n">
        <v>1</v>
      </c>
      <c r="E26" s="3" t="n">
        <v>4</v>
      </c>
      <c r="F26" s="3" t="inlineStr">
        <is>
          <t>Normal</t>
        </is>
      </c>
    </row>
    <row r="27" ht="22" customHeight="1">
      <c r="A27" s="2" t="inlineStr">
        <is>
          <t>M003</t>
        </is>
      </c>
      <c r="B27" s="3" t="inlineStr">
        <is>
          <t>Day-1</t>
        </is>
      </c>
      <c r="C27" s="3" t="n">
        <v>2</v>
      </c>
      <c r="D27" s="3" t="n">
        <v>1</v>
      </c>
      <c r="E27" s="3" t="n">
        <v>4</v>
      </c>
      <c r="F27" s="3" t="inlineStr">
        <is>
          <t>Normal</t>
        </is>
      </c>
    </row>
    <row r="28" ht="22" customHeight="1">
      <c r="A28" s="2" t="inlineStr">
        <is>
          <t>M003</t>
        </is>
      </c>
      <c r="B28" s="3" t="inlineStr">
        <is>
          <t>Day-2</t>
        </is>
      </c>
      <c r="C28" s="3" t="n">
        <v>1</v>
      </c>
      <c r="D28" s="3" t="n">
        <v>1</v>
      </c>
      <c r="E28" s="3" t="n">
        <v>4</v>
      </c>
      <c r="F28" s="3" t="inlineStr">
        <is>
          <t>Normal</t>
        </is>
      </c>
    </row>
    <row r="29" ht="22" customHeight="1">
      <c r="A29" s="2" t="inlineStr">
        <is>
          <t>M003</t>
        </is>
      </c>
      <c r="B29" s="3" t="inlineStr">
        <is>
          <t>Day-2</t>
        </is>
      </c>
      <c r="C29" s="3" t="n">
        <v>2</v>
      </c>
      <c r="D29" s="3" t="n">
        <v>1</v>
      </c>
      <c r="E29" s="3" t="n">
        <v>4</v>
      </c>
      <c r="F29" s="3" t="inlineStr">
        <is>
          <t>Normal</t>
        </is>
      </c>
    </row>
    <row r="30" ht="22" customHeight="1">
      <c r="A30" s="2" t="inlineStr">
        <is>
          <t>M003</t>
        </is>
      </c>
      <c r="B30" s="3" t="inlineStr">
        <is>
          <t>Day-3</t>
        </is>
      </c>
      <c r="C30" s="3" t="n">
        <v>1</v>
      </c>
      <c r="D30" s="3" t="n">
        <v>1</v>
      </c>
      <c r="E30" s="3" t="n">
        <v>4</v>
      </c>
      <c r="F30" s="3" t="inlineStr">
        <is>
          <t>Normal</t>
        </is>
      </c>
    </row>
    <row r="31" ht="22" customHeight="1">
      <c r="A31" s="2" t="inlineStr">
        <is>
          <t>M003</t>
        </is>
      </c>
      <c r="B31" s="3" t="inlineStr">
        <is>
          <t>Day-3</t>
        </is>
      </c>
      <c r="C31" s="3" t="n">
        <v>2</v>
      </c>
      <c r="D31" s="3" t="n">
        <v>1</v>
      </c>
      <c r="E31" s="3" t="n">
        <v>4</v>
      </c>
      <c r="F31" s="3" t="inlineStr">
        <is>
          <t>Normal</t>
        </is>
      </c>
    </row>
    <row r="32" ht="22" customHeight="1">
      <c r="A32" s="2" t="inlineStr">
        <is>
          <t>M003</t>
        </is>
      </c>
      <c r="B32" s="3" t="inlineStr">
        <is>
          <t>Day-4</t>
        </is>
      </c>
      <c r="C32" s="3" t="n">
        <v>1</v>
      </c>
      <c r="D32" s="3" t="n">
        <v>1</v>
      </c>
      <c r="E32" s="3" t="n">
        <v>4</v>
      </c>
      <c r="F32" s="3" t="inlineStr">
        <is>
          <t>Normal</t>
        </is>
      </c>
    </row>
    <row r="33" ht="22" customHeight="1">
      <c r="A33" s="2" t="inlineStr">
        <is>
          <t>M003</t>
        </is>
      </c>
      <c r="B33" s="3" t="inlineStr">
        <is>
          <t>Day-4</t>
        </is>
      </c>
      <c r="C33" s="3" t="n">
        <v>2</v>
      </c>
      <c r="D33" s="3" t="n">
        <v>1</v>
      </c>
      <c r="E33" s="3" t="n">
        <v>4</v>
      </c>
      <c r="F33" s="3" t="inlineStr">
        <is>
          <t>Normal</t>
        </is>
      </c>
    </row>
    <row r="34" ht="22" customHeight="1">
      <c r="A34" s="2" t="inlineStr">
        <is>
          <t>M003</t>
        </is>
      </c>
      <c r="B34" s="3" t="inlineStr">
        <is>
          <t>Day-5</t>
        </is>
      </c>
      <c r="C34" s="3" t="n">
        <v>1</v>
      </c>
      <c r="D34" s="3" t="n">
        <v>1</v>
      </c>
      <c r="E34" s="3" t="n">
        <v>4</v>
      </c>
      <c r="F34" s="3" t="inlineStr">
        <is>
          <t>Normal</t>
        </is>
      </c>
    </row>
    <row r="35" ht="22" customHeight="1">
      <c r="A35" s="2" t="inlineStr">
        <is>
          <t>M003</t>
        </is>
      </c>
      <c r="B35" s="3" t="inlineStr">
        <is>
          <t>Day-5</t>
        </is>
      </c>
      <c r="C35" s="3" t="n">
        <v>2</v>
      </c>
      <c r="D35" s="3" t="n">
        <v>0</v>
      </c>
      <c r="E35" s="3" t="n">
        <v>0</v>
      </c>
      <c r="F35" s="3" t="inlineStr">
        <is>
          <t>General cleaning</t>
        </is>
      </c>
    </row>
    <row r="36" ht="22" customHeight="1">
      <c r="A36" s="2" t="inlineStr">
        <is>
          <t>M003</t>
        </is>
      </c>
      <c r="B36" s="3" t="inlineStr">
        <is>
          <t>Day-6</t>
        </is>
      </c>
      <c r="C36" s="3" t="n">
        <v>1</v>
      </c>
      <c r="D36" s="3" t="n">
        <v>1</v>
      </c>
      <c r="E36" s="3" t="n">
        <v>4</v>
      </c>
      <c r="F36" s="3" t="inlineStr">
        <is>
          <t>Normal</t>
        </is>
      </c>
    </row>
    <row r="37" ht="22" customHeight="1">
      <c r="A37" s="2" t="inlineStr">
        <is>
          <t>M003</t>
        </is>
      </c>
      <c r="B37" s="3" t="inlineStr">
        <is>
          <t>Day-6</t>
        </is>
      </c>
      <c r="C37" s="3" t="n">
        <v>2</v>
      </c>
      <c r="D37" s="3" t="n">
        <v>1</v>
      </c>
      <c r="E37" s="3" t="n">
        <v>4</v>
      </c>
      <c r="F37" s="3" t="inlineStr">
        <is>
          <t>Normal</t>
        </is>
      </c>
    </row>
    <row r="38" ht="22" customHeight="1">
      <c r="A38" s="2" t="inlineStr">
        <is>
          <t>M004</t>
        </is>
      </c>
      <c r="B38" s="3" t="inlineStr">
        <is>
          <t>Day-1</t>
        </is>
      </c>
      <c r="C38" s="3" t="n">
        <v>1</v>
      </c>
      <c r="D38" s="3" t="n">
        <v>1</v>
      </c>
      <c r="E38" s="3" t="n">
        <v>4</v>
      </c>
      <c r="F38" s="3" t="inlineStr">
        <is>
          <t>Normal</t>
        </is>
      </c>
    </row>
    <row r="39" ht="22" customHeight="1">
      <c r="A39" s="2" t="inlineStr">
        <is>
          <t>M004</t>
        </is>
      </c>
      <c r="B39" s="3" t="inlineStr">
        <is>
          <t>Day-1</t>
        </is>
      </c>
      <c r="C39" s="3" t="n">
        <v>2</v>
      </c>
      <c r="D39" s="3" t="n">
        <v>1</v>
      </c>
      <c r="E39" s="3" t="n">
        <v>4</v>
      </c>
      <c r="F39" s="3" t="inlineStr">
        <is>
          <t>Normal</t>
        </is>
      </c>
    </row>
    <row r="40" ht="22" customHeight="1">
      <c r="A40" s="2" t="inlineStr">
        <is>
          <t>M004</t>
        </is>
      </c>
      <c r="B40" s="3" t="inlineStr">
        <is>
          <t>Day-2</t>
        </is>
      </c>
      <c r="C40" s="3" t="n">
        <v>1</v>
      </c>
      <c r="D40" s="3" t="n">
        <v>1</v>
      </c>
      <c r="E40" s="3" t="n">
        <v>4</v>
      </c>
      <c r="F40" s="3" t="inlineStr">
        <is>
          <t>Normal</t>
        </is>
      </c>
    </row>
    <row r="41" ht="22" customHeight="1">
      <c r="A41" s="2" t="inlineStr">
        <is>
          <t>M004</t>
        </is>
      </c>
      <c r="B41" s="3" t="inlineStr">
        <is>
          <t>Day-2</t>
        </is>
      </c>
      <c r="C41" s="3" t="n">
        <v>2</v>
      </c>
      <c r="D41" s="3" t="n">
        <v>1</v>
      </c>
      <c r="E41" s="3" t="n">
        <v>4</v>
      </c>
      <c r="F41" s="3" t="inlineStr">
        <is>
          <t>Normal</t>
        </is>
      </c>
    </row>
    <row r="42" ht="22" customHeight="1">
      <c r="A42" s="2" t="inlineStr">
        <is>
          <t>M004</t>
        </is>
      </c>
      <c r="B42" s="3" t="inlineStr">
        <is>
          <t>Day-3</t>
        </is>
      </c>
      <c r="C42" s="3" t="n">
        <v>1</v>
      </c>
      <c r="D42" s="3" t="n">
        <v>1</v>
      </c>
      <c r="E42" s="3" t="n">
        <v>4</v>
      </c>
      <c r="F42" s="3" t="inlineStr">
        <is>
          <t>Normal</t>
        </is>
      </c>
    </row>
    <row r="43" ht="22" customHeight="1">
      <c r="A43" s="2" t="inlineStr">
        <is>
          <t>M004</t>
        </is>
      </c>
      <c r="B43" s="3" t="inlineStr">
        <is>
          <t>Day-3</t>
        </is>
      </c>
      <c r="C43" s="3" t="n">
        <v>2</v>
      </c>
      <c r="D43" s="3" t="n">
        <v>1</v>
      </c>
      <c r="E43" s="3" t="n">
        <v>4</v>
      </c>
      <c r="F43" s="3" t="inlineStr">
        <is>
          <t>Normal</t>
        </is>
      </c>
    </row>
    <row r="44" ht="22" customHeight="1">
      <c r="A44" s="2" t="inlineStr">
        <is>
          <t>M004</t>
        </is>
      </c>
      <c r="B44" s="3" t="inlineStr">
        <is>
          <t>Day-4</t>
        </is>
      </c>
      <c r="C44" s="3" t="n">
        <v>1</v>
      </c>
      <c r="D44" s="3" t="n">
        <v>1</v>
      </c>
      <c r="E44" s="3" t="n">
        <v>4</v>
      </c>
      <c r="F44" s="3" t="inlineStr">
        <is>
          <t>Normal</t>
        </is>
      </c>
    </row>
    <row r="45" ht="22" customHeight="1">
      <c r="A45" s="2" t="inlineStr">
        <is>
          <t>M004</t>
        </is>
      </c>
      <c r="B45" s="3" t="inlineStr">
        <is>
          <t>Day-4</t>
        </is>
      </c>
      <c r="C45" s="3" t="n">
        <v>2</v>
      </c>
      <c r="D45" s="3" t="n">
        <v>1</v>
      </c>
      <c r="E45" s="3" t="n">
        <v>4</v>
      </c>
      <c r="F45" s="3" t="inlineStr">
        <is>
          <t>Normal</t>
        </is>
      </c>
    </row>
    <row r="46" ht="22" customHeight="1">
      <c r="A46" s="2" t="inlineStr">
        <is>
          <t>M004</t>
        </is>
      </c>
      <c r="B46" s="3" t="inlineStr">
        <is>
          <t>Day-5</t>
        </is>
      </c>
      <c r="C46" s="3" t="n">
        <v>1</v>
      </c>
      <c r="D46" s="3" t="n">
        <v>1</v>
      </c>
      <c r="E46" s="3" t="n">
        <v>4</v>
      </c>
      <c r="F46" s="3" t="inlineStr">
        <is>
          <t>Normal</t>
        </is>
      </c>
    </row>
    <row r="47" ht="22" customHeight="1">
      <c r="A47" s="2" t="inlineStr">
        <is>
          <t>M004</t>
        </is>
      </c>
      <c r="B47" s="3" t="inlineStr">
        <is>
          <t>Day-5</t>
        </is>
      </c>
      <c r="C47" s="3" t="n">
        <v>2</v>
      </c>
      <c r="D47" s="3" t="n">
        <v>0</v>
      </c>
      <c r="E47" s="3" t="n">
        <v>0</v>
      </c>
      <c r="F47" s="3" t="inlineStr">
        <is>
          <t>General cleaning</t>
        </is>
      </c>
    </row>
    <row r="48" ht="22" customHeight="1">
      <c r="A48" s="2" t="inlineStr">
        <is>
          <t>M004</t>
        </is>
      </c>
      <c r="B48" s="3" t="inlineStr">
        <is>
          <t>Day-6</t>
        </is>
      </c>
      <c r="C48" s="3" t="n">
        <v>1</v>
      </c>
      <c r="D48" s="3" t="n">
        <v>1</v>
      </c>
      <c r="E48" s="3" t="n">
        <v>4</v>
      </c>
      <c r="F48" s="3" t="inlineStr">
        <is>
          <t>Normal</t>
        </is>
      </c>
    </row>
    <row r="49" ht="22" customHeight="1">
      <c r="A49" s="2" t="inlineStr">
        <is>
          <t>M004</t>
        </is>
      </c>
      <c r="B49" s="3" t="inlineStr">
        <is>
          <t>Day-6</t>
        </is>
      </c>
      <c r="C49" s="3" t="n">
        <v>2</v>
      </c>
      <c r="D49" s="3" t="n">
        <v>1</v>
      </c>
      <c r="E49" s="3" t="n">
        <v>4</v>
      </c>
      <c r="F49" s="3" t="inlineStr">
        <is>
          <t>Normal</t>
        </is>
      </c>
    </row>
    <row r="50" ht="22" customHeight="1">
      <c r="A50" s="2" t="inlineStr">
        <is>
          <t>M005</t>
        </is>
      </c>
      <c r="B50" s="3" t="inlineStr">
        <is>
          <t>Day-1</t>
        </is>
      </c>
      <c r="C50" s="3" t="n">
        <v>1</v>
      </c>
      <c r="D50" s="3" t="n">
        <v>1</v>
      </c>
      <c r="E50" s="3" t="n">
        <v>4</v>
      </c>
      <c r="F50" s="3" t="inlineStr">
        <is>
          <t>Normal</t>
        </is>
      </c>
    </row>
    <row r="51" ht="22" customHeight="1">
      <c r="A51" s="2" t="inlineStr">
        <is>
          <t>M005</t>
        </is>
      </c>
      <c r="B51" s="3" t="inlineStr">
        <is>
          <t>Day-1</t>
        </is>
      </c>
      <c r="C51" s="3" t="n">
        <v>2</v>
      </c>
      <c r="D51" s="3" t="n">
        <v>1</v>
      </c>
      <c r="E51" s="3" t="n">
        <v>4</v>
      </c>
      <c r="F51" s="3" t="inlineStr">
        <is>
          <t>Normal</t>
        </is>
      </c>
    </row>
    <row r="52" ht="22" customHeight="1">
      <c r="A52" s="2" t="inlineStr">
        <is>
          <t>M005</t>
        </is>
      </c>
      <c r="B52" s="3" t="inlineStr">
        <is>
          <t>Day-2</t>
        </is>
      </c>
      <c r="C52" s="3" t="n">
        <v>1</v>
      </c>
      <c r="D52" s="3" t="n">
        <v>1</v>
      </c>
      <c r="E52" s="3" t="n">
        <v>4</v>
      </c>
      <c r="F52" s="3" t="inlineStr">
        <is>
          <t>Normal</t>
        </is>
      </c>
    </row>
    <row r="53" ht="22" customHeight="1">
      <c r="A53" s="2" t="inlineStr">
        <is>
          <t>M005</t>
        </is>
      </c>
      <c r="B53" s="3" t="inlineStr">
        <is>
          <t>Day-2</t>
        </is>
      </c>
      <c r="C53" s="3" t="n">
        <v>2</v>
      </c>
      <c r="D53" s="3" t="n">
        <v>1</v>
      </c>
      <c r="E53" s="3" t="n">
        <v>4</v>
      </c>
      <c r="F53" s="3" t="inlineStr">
        <is>
          <t>Normal</t>
        </is>
      </c>
    </row>
    <row r="54" ht="22" customHeight="1">
      <c r="A54" s="2" t="inlineStr">
        <is>
          <t>M005</t>
        </is>
      </c>
      <c r="B54" s="3" t="inlineStr">
        <is>
          <t>Day-3</t>
        </is>
      </c>
      <c r="C54" s="3" t="n">
        <v>1</v>
      </c>
      <c r="D54" s="3" t="n">
        <v>1</v>
      </c>
      <c r="E54" s="3" t="n">
        <v>4</v>
      </c>
      <c r="F54" s="3" t="inlineStr">
        <is>
          <t>Normal</t>
        </is>
      </c>
    </row>
    <row r="55" ht="22" customHeight="1">
      <c r="A55" s="2" t="inlineStr">
        <is>
          <t>M005</t>
        </is>
      </c>
      <c r="B55" s="3" t="inlineStr">
        <is>
          <t>Day-3</t>
        </is>
      </c>
      <c r="C55" s="3" t="n">
        <v>2</v>
      </c>
      <c r="D55" s="3" t="n">
        <v>1</v>
      </c>
      <c r="E55" s="3" t="n">
        <v>4</v>
      </c>
      <c r="F55" s="3" t="inlineStr">
        <is>
          <t>Normal</t>
        </is>
      </c>
    </row>
    <row r="56" ht="22" customHeight="1">
      <c r="A56" s="2" t="inlineStr">
        <is>
          <t>M005</t>
        </is>
      </c>
      <c r="B56" s="3" t="inlineStr">
        <is>
          <t>Day-4</t>
        </is>
      </c>
      <c r="C56" s="3" t="n">
        <v>1</v>
      </c>
      <c r="D56" s="3" t="n">
        <v>1</v>
      </c>
      <c r="E56" s="3" t="n">
        <v>4</v>
      </c>
      <c r="F56" s="3" t="inlineStr">
        <is>
          <t>Normal</t>
        </is>
      </c>
    </row>
    <row r="57" ht="22" customHeight="1">
      <c r="A57" s="2" t="inlineStr">
        <is>
          <t>M005</t>
        </is>
      </c>
      <c r="B57" s="3" t="inlineStr">
        <is>
          <t>Day-4</t>
        </is>
      </c>
      <c r="C57" s="3" t="n">
        <v>2</v>
      </c>
      <c r="D57" s="3" t="n">
        <v>1</v>
      </c>
      <c r="E57" s="3" t="n">
        <v>4</v>
      </c>
      <c r="F57" s="3" t="inlineStr">
        <is>
          <t>Normal</t>
        </is>
      </c>
    </row>
    <row r="58" ht="22" customHeight="1">
      <c r="A58" s="2" t="inlineStr">
        <is>
          <t>M005</t>
        </is>
      </c>
      <c r="B58" s="3" t="inlineStr">
        <is>
          <t>Day-5</t>
        </is>
      </c>
      <c r="C58" s="3" t="n">
        <v>1</v>
      </c>
      <c r="D58" s="3" t="n">
        <v>1</v>
      </c>
      <c r="E58" s="3" t="n">
        <v>4</v>
      </c>
      <c r="F58" s="3" t="inlineStr">
        <is>
          <t>Normal</t>
        </is>
      </c>
    </row>
    <row r="59" ht="22" customHeight="1">
      <c r="A59" s="2" t="inlineStr">
        <is>
          <t>M005</t>
        </is>
      </c>
      <c r="B59" s="3" t="inlineStr">
        <is>
          <t>Day-5</t>
        </is>
      </c>
      <c r="C59" s="3" t="n">
        <v>2</v>
      </c>
      <c r="D59" s="3" t="n">
        <v>0</v>
      </c>
      <c r="E59" s="3" t="n">
        <v>0</v>
      </c>
      <c r="F59" s="3" t="inlineStr">
        <is>
          <t>General cleaning</t>
        </is>
      </c>
    </row>
    <row r="60" ht="22" customHeight="1">
      <c r="A60" s="2" t="inlineStr">
        <is>
          <t>M005</t>
        </is>
      </c>
      <c r="B60" s="3" t="inlineStr">
        <is>
          <t>Day-6</t>
        </is>
      </c>
      <c r="C60" s="3" t="n">
        <v>1</v>
      </c>
      <c r="D60" s="3" t="n">
        <v>1</v>
      </c>
      <c r="E60" s="3" t="n">
        <v>4</v>
      </c>
      <c r="F60" s="3" t="inlineStr">
        <is>
          <t>Normal</t>
        </is>
      </c>
    </row>
    <row r="61" ht="22" customHeight="1">
      <c r="A61" s="2" t="inlineStr">
        <is>
          <t>M005</t>
        </is>
      </c>
      <c r="B61" s="3" t="inlineStr">
        <is>
          <t>Day-6</t>
        </is>
      </c>
      <c r="C61" s="3" t="n">
        <v>2</v>
      </c>
      <c r="D61" s="3" t="n">
        <v>1</v>
      </c>
      <c r="E61" s="3" t="n">
        <v>4</v>
      </c>
      <c r="F61" s="3" t="inlineStr">
        <is>
          <t>Normal</t>
        </is>
      </c>
    </row>
  </sheetData>
  <conditionalFormatting sqref="A2:A1001">
    <cfRule type="expression" priority="1" dxfId="0">
      <formula>AND(A2&lt;&gt;"",COUNTIFS($A$2:$A$1001,A2,$B$2:$B$1001,B2,$C$2:$C$1001,C2)&gt;1)</formula>
    </cfRule>
  </conditionalFormatting>
  <dataValidations count="4">
    <dataValidation sqref="A2:A1001" showDropDown="0" showInputMessage="0" showErrorMessage="1" allowBlank="0" errorTitle="Invalid input" error="Choose a value from the list." type="list">
      <formula1>Machine_IDs</formula1>
    </dataValidation>
    <dataValidation sqref="C2:C1001" showDropDown="0" showInputMessage="0" showErrorMessage="1" allowBlank="0" errorTitle="Invalid numeric input" error="Enter a valid nonnegative number or a value within the allowed limits." type="whole" operator="greaterThanOrEqual">
      <formula1>1</formula1>
    </dataValidation>
    <dataValidation sqref="D2:D1001" showDropDown="0" showInputMessage="0" showErrorMessage="1" allowBlank="0" errorTitle="Invalid input" error="Choose a value from the list." type="list">
      <formula1>"0,1"</formula1>
    </dataValidation>
    <dataValidation sqref="E2:E1001" showDropDown="0" showInputMessage="0" showErrorMessage="1" allowBlank="0" errorTitle="Input consistency" error="Available=1 requires positive Hours; Available=0 requires zero Hours." type="custom">
      <formula1>AND(ISNUMBER(E2),IF(D2=1,E2&gt;0,E2=0))</formula1>
    </dataValidation>
  </dataValidations>
  <printOptions horizontalCentered="1"/>
  <pageMargins left="0.75" right="0.75" top="1" bottom="1" header="0.5" footer="0.5"/>
  <pageSetup orientation="landscape" paperSize="9" fitToHeight="0"/>
  <headerFooter>
    <oddHeader/>
    <oddFooter>&amp;CProduction planning input | v6&amp;RPage &amp;P / &amp;N</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F4"/>
  <sheetViews>
    <sheetView showGridLines="0" tabSelected="1" workbookViewId="0">
      <pane ySplit="1" topLeftCell="A2" activePane="bottomLeft" state="frozen"/>
      <selection pane="bottomLeft" activeCell="D13" sqref="D13"/>
    </sheetView>
  </sheetViews>
  <sheetFormatPr baseColWidth="8" defaultRowHeight="14.5"/>
  <cols>
    <col width="13" customWidth="1" min="1" max="1"/>
    <col width="20" customWidth="1" min="2" max="2"/>
    <col width="21" customWidth="1" min="3" max="4"/>
    <col width="18" customWidth="1" min="5" max="5"/>
    <col width="10" customWidth="1" min="6" max="6"/>
  </cols>
  <sheetData>
    <row r="1" ht="30" customHeight="1">
      <c r="A1" s="1" t="inlineStr">
        <is>
          <t>Rule_ID</t>
        </is>
      </c>
      <c r="B1" s="1" t="inlineStr">
        <is>
          <t>Family</t>
        </is>
      </c>
      <c r="C1" s="1" t="inlineStr">
        <is>
          <t>Before_Product_ID</t>
        </is>
      </c>
      <c r="D1" s="1" t="inlineStr">
        <is>
          <t>After_Product_ID</t>
        </is>
      </c>
      <c r="E1" s="1" t="inlineStr">
        <is>
          <t>Scope</t>
        </is>
      </c>
      <c r="F1" s="1" t="inlineStr">
        <is>
          <t>Hard</t>
        </is>
      </c>
    </row>
    <row r="2" ht="22" customHeight="1">
      <c r="A2" s="2" t="inlineStr">
        <is>
          <t>SQ001</t>
        </is>
      </c>
      <c r="B2" s="3" t="inlineStr">
        <is>
          <t>Ayçekirdeği</t>
        </is>
      </c>
      <c r="C2" s="3" t="inlineStr">
        <is>
          <t>P001</t>
        </is>
      </c>
      <c r="D2" s="3" t="inlineStr">
        <is>
          <t>P002</t>
        </is>
      </c>
      <c r="E2" s="3" t="inlineStr">
        <is>
          <t>SAME_MACHINE</t>
        </is>
      </c>
      <c r="F2" s="3" t="n">
        <v>1</v>
      </c>
    </row>
    <row r="3" ht="22" customHeight="1">
      <c r="A3" s="2" t="inlineStr">
        <is>
          <t>SQ002</t>
        </is>
      </c>
      <c r="B3" s="3" t="inlineStr">
        <is>
          <t>Fıstık Lüks</t>
        </is>
      </c>
      <c r="C3" s="3" t="inlineStr">
        <is>
          <t>P009</t>
        </is>
      </c>
      <c r="D3" s="3" t="inlineStr">
        <is>
          <t>P008</t>
        </is>
      </c>
      <c r="E3" s="3" t="inlineStr">
        <is>
          <t>SAME_MACHINE</t>
        </is>
      </c>
      <c r="F3" s="3" t="n">
        <v>1</v>
      </c>
    </row>
    <row r="4" ht="26" customHeight="1">
      <c r="A4" s="2" t="inlineStr">
        <is>
          <t>SQ003</t>
        </is>
      </c>
      <c r="B4" s="3" t="inlineStr">
        <is>
          <t>Kabak</t>
        </is>
      </c>
      <c r="C4" s="3" t="inlineStr">
        <is>
          <t>P004</t>
        </is>
      </c>
      <c r="D4" s="3" t="inlineStr">
        <is>
          <t>P005</t>
        </is>
      </c>
      <c r="E4" s="3" t="inlineStr">
        <is>
          <t>SAME_MACHINE</t>
        </is>
      </c>
      <c r="F4" s="3" t="n">
        <v>1</v>
      </c>
    </row>
  </sheetData>
  <autoFilter ref="A1:F4"/>
  <dataValidations count="3">
    <dataValidation sqref="C2:D1000" showDropDown="0" showInputMessage="0" showErrorMessage="1" allowBlank="0" errorTitle="Invalid input" error="Choose a value from the list." type="list">
      <formula1>Product_IDs</formula1>
    </dataValidation>
    <dataValidation sqref="E2:E1000" showDropDown="0" showInputMessage="0" showErrorMessage="1" allowBlank="0" errorTitle="Invalid input" error="Choose a value from the list." type="list">
      <formula1>"SAME_MACHINE"</formula1>
    </dataValidation>
    <dataValidation sqref="F2:F1000" showDropDown="0" showInputMessage="0" showErrorMessage="1" allowBlank="0" errorTitle="Invalid input" error="Choose a value from the list." type="list">
      <formula1>"1"</formula1>
    </dataValidation>
  </dataValidations>
  <printOptions horizontalCentered="1"/>
  <pageMargins left="0.75" right="0.75" top="1" bottom="1" header="0.5" footer="0.5"/>
  <pageSetup orientation="landscape" paperSize="9" fitToHeight="0"/>
  <headerFooter>
    <oddHeader/>
    <oddFooter>&amp;CProduction planning input | v6&amp;RPage &amp;P /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F2"/>
  <sheetViews>
    <sheetView showGridLines="0" workbookViewId="0">
      <pane ySplit="1" topLeftCell="A2" activePane="bottomLeft" state="frozen"/>
      <selection pane="bottomLeft" activeCell="A1" sqref="A1"/>
    </sheetView>
  </sheetViews>
  <sheetFormatPr baseColWidth="8" defaultRowHeight="14.5"/>
  <cols>
    <col width="12" customWidth="1" min="1" max="1"/>
    <col width="18" customWidth="1" min="2" max="2"/>
    <col width="24" customWidth="1" min="3" max="3"/>
    <col width="26" customWidth="1" min="4" max="4"/>
    <col width="10" customWidth="1" min="5" max="5"/>
    <col width="80" customWidth="1" min="6" max="6"/>
  </cols>
  <sheetData>
    <row r="1" ht="44" customHeight="1">
      <c r="A1" s="1" t="inlineStr">
        <is>
          <t>Rule_ID</t>
        </is>
      </c>
      <c r="B1" s="1" t="inlineStr">
        <is>
          <t>Scope</t>
        </is>
      </c>
      <c r="C1" s="1" t="inlineStr">
        <is>
          <t>Max_Products_Per_Shift</t>
        </is>
      </c>
      <c r="D1" s="1" t="inlineStr">
        <is>
          <t>Max_Changeovers_Per_Day</t>
        </is>
      </c>
      <c r="E1" s="1" t="inlineStr">
        <is>
          <t>Hard</t>
        </is>
      </c>
      <c r="F1" s="1" t="inlineStr">
        <is>
          <t>Description</t>
        </is>
      </c>
    </row>
    <row r="2" ht="100" customHeight="1">
      <c r="A2" s="2" t="inlineStr">
        <is>
          <t>CO001</t>
        </is>
      </c>
      <c r="B2" s="3" t="inlineStr">
        <is>
          <t>MACHINE_DAY</t>
        </is>
      </c>
      <c r="C2" s="3" t="n">
        <v>1</v>
      </c>
      <c r="D2" s="3" t="n">
        <v>1</v>
      </c>
      <c r="E2" s="3" t="n">
        <v>1</v>
      </c>
      <c r="F2" s="3" t="inlineStr">
        <is>
          <t>HARD: one product per machine-shift and at most one product change per machine-day. Count the transition from the last produced product, including the previous day. Attribute the change to the new product start day. Idle shifts do not reset product state. An initial setup from an empty machine consumes preparation time but is not a changeover.</t>
        </is>
      </c>
    </row>
  </sheetData>
  <autoFilter ref="A1:F2"/>
  <dataValidations count="4">
    <dataValidation sqref="B2:B1001" showDropDown="0" showInputMessage="0" showErrorMessage="1" allowBlank="0" errorTitle="Invalid input" error="Choose a value from the list." type="list">
      <formula1>"MACHINE_DAY"</formula1>
    </dataValidation>
    <dataValidation sqref="C2:C1001" showDropDown="0" showInputMessage="0" showErrorMessage="1" allowBlank="0" errorTitle="Invalid numeric input" error="Enter a valid nonnegative number or a value within the allowed limits." type="whole" operator="greaterThanOrEqual">
      <formula1>1</formula1>
    </dataValidation>
    <dataValidation sqref="D2:D1001" showDropDown="0" showInputMessage="0" showErrorMessage="1" allowBlank="0" errorTitle="Invalid numeric input" error="Enter a valid nonnegative number or a value within the allowed limits." type="whole" operator="greaterThanOrEqual">
      <formula1>0</formula1>
    </dataValidation>
    <dataValidation sqref="E2:E1001" showDropDown="0" showInputMessage="0" showErrorMessage="1" allowBlank="0" errorTitle="Invalid input" error="Choose a value from the list." type="list">
      <formula1>"1"</formula1>
    </dataValidation>
  </dataValidations>
  <printOptions horizontalCentered="1"/>
  <pageMargins left="0.75" right="0.75" top="1" bottom="1" header="0.5" footer="0.5"/>
  <pageSetup orientation="landscape" paperSize="9" fitToHeight="0"/>
  <headerFooter>
    <oddHeader/>
    <oddFooter>&amp;CProduction planning input | v6&amp;RPage &amp;P / &amp;N</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H3"/>
  <sheetViews>
    <sheetView showGridLines="0" workbookViewId="0">
      <pane ySplit="1" topLeftCell="A2" activePane="bottomLeft" state="frozen"/>
      <selection pane="bottomLeft" activeCell="A1" sqref="A1"/>
    </sheetView>
  </sheetViews>
  <sheetFormatPr baseColWidth="8" defaultRowHeight="14.5"/>
  <cols>
    <col width="12" customWidth="1" min="1" max="1"/>
    <col width="20" customWidth="1" min="2" max="2"/>
    <col width="22" customWidth="1" min="3" max="3"/>
    <col width="23" customWidth="1" min="4" max="4"/>
    <col width="24" customWidth="1" min="5" max="5"/>
    <col width="10" customWidth="1" min="6" max="6"/>
    <col width="95" customWidth="1" min="7" max="7"/>
    <col width="35" customWidth="1" min="8" max="8"/>
  </cols>
  <sheetData>
    <row r="1" ht="44" customHeight="1">
      <c r="A1" s="5" t="inlineStr">
        <is>
          <t>Rule_ID</t>
        </is>
      </c>
      <c r="B1" s="5" t="inlineStr">
        <is>
          <t>Scope</t>
        </is>
      </c>
      <c r="C1" s="5" t="inlineStr">
        <is>
          <t>Prefer_Single_Machine</t>
        </is>
      </c>
      <c r="D1" s="5" t="inlineStr">
        <is>
          <t>Preferred_Max_Machines</t>
        </is>
      </c>
      <c r="E1" s="5" t="inlineStr">
        <is>
          <t>Allow_Split_If_Required</t>
        </is>
      </c>
      <c r="F1" s="5" t="inlineStr">
        <is>
          <t>Hard</t>
        </is>
      </c>
      <c r="G1" s="5" t="inlineStr">
        <is>
          <t>Description</t>
        </is>
      </c>
      <c r="H1" s="5" t="inlineStr">
        <is>
          <t>Objective_ID</t>
        </is>
      </c>
    </row>
    <row r="2" ht="90" customHeight="1">
      <c r="A2" s="6" t="inlineStr">
        <is>
          <t>AL001</t>
        </is>
      </c>
      <c r="B2" s="6" t="inlineStr">
        <is>
          <t>ALL_PRODUCTS</t>
        </is>
      </c>
      <c r="C2" s="6" t="n">
        <v>1</v>
      </c>
      <c r="D2" s="6" t="n">
        <v>1</v>
      </c>
      <c r="E2" s="6" t="n">
        <v>1</v>
      </c>
      <c r="F2" s="6" t="n">
        <v>0</v>
      </c>
      <c r="G2" s="6" t="inlineStr">
        <is>
          <t>Soft tie-break only: not a hard constraint and never overrides transition count, tonnage, or preparation.</t>
        </is>
      </c>
      <c r="H2" s="6" t="inlineStr">
        <is>
          <t>MIN_PRODUCT_MACHINE_SPLITS</t>
        </is>
      </c>
    </row>
    <row r="3" ht="90" customHeight="1">
      <c r="A3" s="6" t="inlineStr">
        <is>
          <t>AL003</t>
        </is>
      </c>
      <c r="B3" s="6" t="inlineStr">
        <is>
          <t>ALL_FAMILIES</t>
        </is>
      </c>
      <c r="C3" s="6" t="n">
        <v>1</v>
      </c>
      <c r="D3" s="6" t="n">
        <v>1</v>
      </c>
      <c r="E3" s="6" t="n">
        <v>1</v>
      </c>
      <c r="F3" s="6" t="n">
        <v>0</v>
      </c>
      <c r="G3" s="6" t="inlineStr">
        <is>
          <t>Soft tie-break only: evaluated after transition count, tonnage, preparation and product split.</t>
        </is>
      </c>
      <c r="H3" s="6" t="inlineStr">
        <is>
          <t>MIN_FAMILY_MACHINE_SPLITS</t>
        </is>
      </c>
    </row>
  </sheetData>
  <autoFilter ref="A1:H3"/>
  <dataValidations count="4">
    <dataValidation sqref="B2:B1001" showDropDown="0" showInputMessage="0" showErrorMessage="1" allowBlank="0" errorTitle="Invalid input" error="Choose a value from the list." type="list">
      <formula1>"ALL_PRODUCTS,ALL_FAMILIES"</formula1>
    </dataValidation>
    <dataValidation sqref="C2:C1001 E2:F1001" showDropDown="0" showInputMessage="0" showErrorMessage="1" allowBlank="0" errorTitle="Invalid input" error="Choose a value from the list." type="list">
      <formula1>"0,1"</formula1>
    </dataValidation>
    <dataValidation sqref="D2:D1001" showDropDown="0" showInputMessage="0" showErrorMessage="1" allowBlank="0" errorTitle="Invalid numeric input" error="Enter a valid nonnegative number or a value within the allowed limits." type="whole" operator="greaterThanOrEqual">
      <formula1>1</formula1>
    </dataValidation>
    <dataValidation sqref="H2:H1001" showDropDown="0" showInputMessage="0" showErrorMessage="1" allowBlank="0" errorTitle="Invalid input" error="Choose a value from the list." type="list">
      <formula1>Objective_IDs</formula1>
    </dataValidation>
  </dataValidations>
  <printOptions horizontalCentered="1"/>
  <pageMargins left="0.75" right="0.75" top="1" bottom="1" header="0.5" footer="0.5"/>
  <pageSetup orientation="landscape" paperSize="9" fitToHeight="0"/>
  <headerFooter>
    <oddHeader/>
    <oddFooter>&amp;CProduction planning input | v6&amp;RPage &amp;P /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D6"/>
  <sheetViews>
    <sheetView showGridLines="0" workbookViewId="0">
      <pane ySplit="1" topLeftCell="A2" activePane="bottomLeft" state="frozen"/>
      <selection pane="bottomLeft" activeCell="A1" sqref="A1"/>
    </sheetView>
  </sheetViews>
  <sheetFormatPr baseColWidth="8" defaultRowHeight="14.5"/>
  <cols>
    <col width="13" customWidth="1" min="1" max="1"/>
    <col width="20" customWidth="1" min="2" max="2"/>
    <col width="18" customWidth="1" min="3" max="4"/>
  </cols>
  <sheetData>
    <row r="1" ht="30" customHeight="1">
      <c r="A1" s="1" t="inlineStr">
        <is>
          <t>Machine_ID</t>
        </is>
      </c>
      <c r="B1" s="1" t="inlineStr">
        <is>
          <t>Current_Product_ID</t>
        </is>
      </c>
      <c r="C1" s="1" t="inlineStr">
        <is>
          <t>Run_Produced_t</t>
        </is>
      </c>
      <c r="D1" s="1" t="inlineStr">
        <is>
          <t>Setup_Completed</t>
        </is>
      </c>
    </row>
    <row r="2" ht="22" customHeight="1">
      <c r="A2" s="2" t="inlineStr">
        <is>
          <t>M001</t>
        </is>
      </c>
      <c r="B2" s="3" t="n"/>
      <c r="C2" s="3" t="n">
        <v>0</v>
      </c>
      <c r="D2" s="3" t="n">
        <v>0</v>
      </c>
    </row>
    <row r="3" ht="22" customHeight="1">
      <c r="A3" s="2" t="inlineStr">
        <is>
          <t>M002</t>
        </is>
      </c>
      <c r="B3" s="3" t="n"/>
      <c r="C3" s="3" t="n">
        <v>0</v>
      </c>
      <c r="D3" s="3" t="n">
        <v>0</v>
      </c>
    </row>
    <row r="4" ht="22" customHeight="1">
      <c r="A4" s="2" t="inlineStr">
        <is>
          <t>M003</t>
        </is>
      </c>
      <c r="B4" s="3" t="n"/>
      <c r="C4" s="3" t="n">
        <v>0</v>
      </c>
      <c r="D4" s="3" t="n">
        <v>0</v>
      </c>
    </row>
    <row r="5" ht="22" customHeight="1">
      <c r="A5" s="2" t="inlineStr">
        <is>
          <t>M004</t>
        </is>
      </c>
      <c r="B5" s="3" t="n"/>
      <c r="C5" s="3" t="n">
        <v>0</v>
      </c>
      <c r="D5" s="3" t="n">
        <v>0</v>
      </c>
    </row>
    <row r="6" ht="22" customHeight="1">
      <c r="A6" s="2" t="inlineStr">
        <is>
          <t>M005</t>
        </is>
      </c>
      <c r="B6" s="3" t="n"/>
      <c r="C6" s="3" t="n">
        <v>0</v>
      </c>
      <c r="D6" s="3" t="n">
        <v>0</v>
      </c>
    </row>
  </sheetData>
  <conditionalFormatting sqref="A2:A1001">
    <cfRule type="expression" priority="1" dxfId="0">
      <formula>AND(A2&lt;&gt;"",COUNTIF($A$2:$A$1001,A2)&gt;1)</formula>
    </cfRule>
  </conditionalFormatting>
  <dataValidations count="4">
    <dataValidation sqref="A2:A1001" showDropDown="0" showInputMessage="0" showErrorMessage="1" allowBlank="0" errorTitle="Invalid input" error="Choose a value from the list." type="list">
      <formula1>Machine_IDs</formula1>
    </dataValidation>
    <dataValidation sqref="B2:B1001" showDropDown="0" showInputMessage="0" showErrorMessage="1" allowBlank="1" errorTitle="Invalid input" error="Choose a value from the list." type="list">
      <formula1>Product_IDs</formula1>
    </dataValidation>
    <dataValidation sqref="C2:C1001" showDropDown="0" showInputMessage="0" showErrorMessage="1" allowBlank="0" errorTitle="Invalid numeric input" error="Enter a valid nonnegative number or a value within the allowed limits." type="decimal" operator="greaterThanOrEqual">
      <formula1>0</formula1>
    </dataValidation>
    <dataValidation sqref="D2:D1001" showDropDown="0" showInputMessage="0" showErrorMessage="1" allowBlank="0" errorTitle="Invalid input" error="Choose a value from the list." type="list">
      <formula1>"0,1"</formula1>
    </dataValidation>
  </dataValidations>
  <printOptions horizontalCentered="1"/>
  <pageMargins left="0.75" right="0.75" top="1" bottom="1" header="0.5" footer="0.5"/>
  <pageSetup orientation="landscape" paperSize="9" fitToHeight="0"/>
  <headerFooter>
    <oddHeader/>
    <oddFooter>&amp;CProduction planning input | v6&amp;RPage &amp;P / &amp;N</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fitToPage="1"/>
  </sheetPr>
  <dimension ref="A1:E8"/>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5"/>
  <cols>
    <col width="12" customWidth="1" min="1" max="1"/>
    <col width="36" customWidth="1" min="2" max="2"/>
    <col width="13" customWidth="1" min="3" max="3"/>
    <col width="12" customWidth="1" min="4" max="4"/>
    <col width="100" customWidth="1" min="5" max="5"/>
  </cols>
  <sheetData>
    <row r="1" ht="30" customHeight="1">
      <c r="A1" s="1" t="inlineStr">
        <is>
          <t>Priority</t>
        </is>
      </c>
      <c r="B1" s="1" t="inlineStr">
        <is>
          <t>Objective_ID</t>
        </is>
      </c>
      <c r="C1" s="1" t="inlineStr">
        <is>
          <t>Direction</t>
        </is>
      </c>
      <c r="D1" s="1" t="inlineStr">
        <is>
          <t>Enabled</t>
        </is>
      </c>
      <c r="E1" s="1" t="inlineStr">
        <is>
          <t>Description</t>
        </is>
      </c>
    </row>
    <row r="2" ht="63" customHeight="1">
      <c r="A2" s="12" t="n">
        <v>1</v>
      </c>
      <c r="B2" s="13" t="inlineStr">
        <is>
          <t>MIN_CHANGEOVERS</t>
        </is>
      </c>
      <c r="C2" s="3" t="inlineStr">
        <is>
          <t>MIN</t>
        </is>
      </c>
      <c r="D2" s="3" t="n">
        <v>1</v>
      </c>
      <c r="E2" s="3" t="inlineStr">
        <is>
          <t>FIRST: minimize machine product changes (40 min each). Production floor is mandatory.</t>
        </is>
      </c>
    </row>
    <row r="3" ht="63" customHeight="1">
      <c r="A3" s="12" t="n">
        <v>2</v>
      </c>
      <c r="B3" s="13" t="inlineStr">
        <is>
          <t>MIN_UNMET</t>
        </is>
      </c>
      <c r="C3" s="3" t="inlineStr">
        <is>
          <t>MIN</t>
        </is>
      </c>
      <c r="D3" s="3" t="n">
        <v>1</v>
      </c>
      <c r="E3" s="3" t="inlineStr">
        <is>
          <t>SECOND: maximize total target fulfillment after the lowest practical changeover count is achieved.</t>
        </is>
      </c>
    </row>
    <row r="4" ht="63" customHeight="1">
      <c r="A4" s="12" t="n">
        <v>3</v>
      </c>
      <c r="B4" s="13" t="inlineStr">
        <is>
          <t>MIN_TOTAL_PREPARATION</t>
        </is>
      </c>
      <c r="C4" s="3" t="inlineStr">
        <is>
          <t>MIN</t>
        </is>
      </c>
      <c r="D4" s="3" t="n">
        <v>1</v>
      </c>
      <c r="E4" s="3" t="inlineStr">
        <is>
          <t>THIRD: minimize all setups including first production on each machine; transition prep is already charged.</t>
        </is>
      </c>
    </row>
    <row r="5" ht="63" customHeight="1">
      <c r="A5" s="12" t="n">
        <v>4</v>
      </c>
      <c r="B5" s="13" t="inlineStr">
        <is>
          <t>MIN_PRODUCT_MACHINE_SPLITS</t>
        </is>
      </c>
      <c r="C5" s="3" t="inlineStr">
        <is>
          <t>MIN</t>
        </is>
      </c>
      <c r="D5" s="3" t="n">
        <v>1</v>
      </c>
      <c r="E5" s="3" t="inlineStr">
        <is>
          <t>SOFT: prefer fewer machines per product only after changeover / output / setups.</t>
        </is>
      </c>
    </row>
    <row r="6" ht="63" customHeight="1">
      <c r="A6" s="12" t="n">
        <v>5</v>
      </c>
      <c r="B6" s="13" t="inlineStr">
        <is>
          <t>MIN_FAMILY_MACHINE_SPLITS</t>
        </is>
      </c>
      <c r="C6" s="3" t="inlineStr">
        <is>
          <t>MIN</t>
        </is>
      </c>
      <c r="D6" s="3" t="n">
        <v>1</v>
      </c>
      <c r="E6" s="3" t="inlineStr">
        <is>
          <t>SOFT: group product families when priorities above tie.</t>
        </is>
      </c>
    </row>
    <row r="7" ht="63" customHeight="1">
      <c r="A7" s="12" t="n">
        <v>6</v>
      </c>
      <c r="B7" s="13" t="inlineStr">
        <is>
          <t>MIN_MACHINE_PRIORITY_COST</t>
        </is>
      </c>
      <c r="C7" s="3" t="inlineStr">
        <is>
          <t>MIN</t>
        </is>
      </c>
      <c r="D7" s="3" t="n">
        <v>1</v>
      </c>
      <c r="E7" s="3" t="inlineStr">
        <is>
          <t>Final tie-break preference for machine-product assignments.</t>
        </is>
      </c>
    </row>
    <row r="8" ht="63" customHeight="1">
      <c r="A8" s="3" t="n"/>
      <c r="B8" s="3" t="n"/>
      <c r="C8" s="3" t="n"/>
      <c r="D8" s="3" t="n"/>
      <c r="E8" s="3" t="n"/>
    </row>
  </sheetData>
  <autoFilter ref="A1:E7"/>
  <conditionalFormatting sqref="A2:A1001">
    <cfRule type="expression" priority="1" dxfId="0">
      <formula>AND(A2&lt;&gt;"",COUNTIF($A$2:$A$1001,A2)&gt;1)</formula>
    </cfRule>
  </conditionalFormatting>
  <dataValidations count="3">
    <dataValidation sqref="A2:A1001" showDropDown="0" showInputMessage="0" showErrorMessage="1" allowBlank="0" errorTitle="Invalid numeric input" error="Enter a valid nonnegative number or a value within the allowed limits." type="whole" operator="greaterThanOrEqual">
      <formula1>1</formula1>
    </dataValidation>
    <dataValidation sqref="C2:C1001" showDropDown="0" showInputMessage="0" showErrorMessage="1" allowBlank="0" errorTitle="Invalid input" error="Choose a value from the list." type="list">
      <formula1>"MIN"</formula1>
    </dataValidation>
    <dataValidation sqref="D2:D1001" showDropDown="0" showInputMessage="0" showErrorMessage="1" allowBlank="0" errorTitle="Invalid input" error="Choose a value from the list." type="list">
      <formula1>"0,1"</formula1>
    </dataValidation>
  </dataValidations>
  <printOptions horizontalCentered="1"/>
  <pageMargins left="0.75" right="0.75" top="1" bottom="1" header="0.5" footer="0.5"/>
  <pageSetup orientation="landscape" paperSize="9" fitToHeight="0"/>
  <headerFooter>
    <oddHeader/>
    <oddFooter>&amp;CProduction planning input | v6&amp;RPage &amp;P / &amp;N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fitToPage="1"/>
  </sheetPr>
  <dimension ref="A1:C3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4.5"/>
  <cols>
    <col width="38" customWidth="1" min="1" max="1"/>
    <col width="44" customWidth="1" min="2" max="2"/>
    <col width="120" customWidth="1" min="3" max="3"/>
  </cols>
  <sheetData>
    <row r="1" ht="30" customHeight="1">
      <c r="A1" s="7" t="inlineStr">
        <is>
          <t>Parameter</t>
        </is>
      </c>
      <c r="B1" s="7" t="inlineStr">
        <is>
          <t>Value</t>
        </is>
      </c>
      <c r="C1" s="7" t="inlineStr">
        <is>
          <t>Description</t>
        </is>
      </c>
    </row>
    <row r="2" ht="42" customHeight="1">
      <c r="A2" s="8" t="inlineStr">
        <is>
          <t>SchemaVersion</t>
        </is>
      </c>
      <c r="B2" s="8" t="inlineStr">
        <is>
          <t>6.0</t>
        </is>
      </c>
      <c r="C2" s="8" t="inlineStr">
        <is>
          <t>Input schema v6. Requires a parser/optimizer that supports these fields; an unknown field or unsupported objective must raise an error, not be ignored.</t>
        </is>
      </c>
    </row>
    <row r="3" ht="42" customHeight="1">
      <c r="A3" s="8" t="inlineStr">
        <is>
          <t>ShiftHours</t>
        </is>
      </c>
      <c r="B3" s="8" t="n">
        <v>4</v>
      </c>
      <c r="C3" s="8" t="inlineStr">
        <is>
          <t>Standard shift length in hours. calendar.Hours is authoritative for each machine/day/shift; this is a default when generating calendar rows.</t>
        </is>
      </c>
    </row>
    <row r="4" ht="42" customHeight="1">
      <c r="A4" s="8" t="inlineStr">
        <is>
          <t>DefaultPreparationMin</t>
        </is>
      </c>
      <c r="B4" s="14" t="n">
        <v>40</v>
      </c>
      <c r="C4" s="8" t="inlineStr">
        <is>
          <t>If machine_product.Preparation_min is blank, use 40 minutes. Initial setup and each product change consume preparation; same-product continuation consumes zero.</t>
        </is>
      </c>
    </row>
    <row r="5" ht="42" customHeight="1">
      <c r="A5" s="8" t="inlineStr">
        <is>
          <t>MaxPlanningDays</t>
        </is>
      </c>
      <c r="B5" s="8" t="n">
        <v>6</v>
      </c>
      <c r="C5" s="8" t="inlineStr">
        <is>
          <t>Calendar planning horizon in days. Day-n labels are sorted by numeric n, not lexically.</t>
        </is>
      </c>
    </row>
    <row r="6" ht="42" customHeight="1">
      <c r="A6" s="8" t="inlineStr">
        <is>
          <t>AllowFinalRunBelowMinimum</t>
        </is>
      </c>
      <c r="B6" s="8" t="n">
        <v>1</v>
      </c>
      <c r="C6" s="8" t="inlineStr">
        <is>
          <t>Allow a below-minimum final run only when remaining target is below MinRun_t and that run completes the remaining target. Lack of capacity alone is not an exception.</t>
        </is>
      </c>
    </row>
    <row r="7" ht="42" customHeight="1">
      <c r="A7" s="8" t="inlineStr">
        <is>
          <t>AllowSurplusProduction</t>
        </is>
      </c>
      <c r="B7" s="8" t="n">
        <v>0</v>
      </c>
      <c r="C7" s="8" t="inlineStr">
        <is>
          <t>0 = no product may be scheduled above its target. The surplus objective has no effect while this hard prohibition is active.</t>
        </is>
      </c>
    </row>
    <row r="8" ht="42" customHeight="1">
      <c r="A8" s="8" t="inlineStr">
        <is>
          <t>PreventProductReturn</t>
        </is>
      </c>
      <c r="B8" s="8" t="n">
        <v>1</v>
      </c>
      <c r="C8" s="8" t="inlineStr">
        <is>
          <t>HARD: forbid A-B-A on the same machine throughout the horizon. Ignore idle shifts when checking the product sequence; do not reset on calendar closure.</t>
        </is>
      </c>
    </row>
    <row r="9" ht="42" customHeight="1">
      <c r="A9" s="8" t="inlineStr">
        <is>
          <t>PreferContinuousProduction</t>
        </is>
      </c>
      <c r="B9" s="8" t="n">
        <v>1</v>
      </c>
      <c r="C9" s="8" t="inlineStr">
        <is>
          <t>Prefer consecutive continuation of the same production run. A soft construction/tie-break preference; never override objectives or hard limits.</t>
        </is>
      </c>
    </row>
    <row r="10" ht="42" customHeight="1">
      <c r="A10" s="8" t="inlineStr">
        <is>
          <t>CriticalProductFirst</t>
        </is>
      </c>
      <c r="B10" s="8" t="n">
        <v>1</v>
      </c>
      <c r="C10" s="8" t="inlineStr">
        <is>
          <t>Constructive heuristic preference: schedule products with fewer eligible machines first. This is a search heuristic, not an extra objective priority.</t>
        </is>
      </c>
    </row>
    <row r="11" ht="42" customHeight="1">
      <c r="A11" s="8" t="inlineStr">
        <is>
          <t>ObjectiveMode</t>
        </is>
      </c>
      <c r="B11" s="14" t="inlineStr">
        <is>
          <t>LEXICOGRAPHIC_CHANGEOVER_FIRST</t>
        </is>
      </c>
      <c r="C11" s="8" t="inlineStr">
        <is>
          <t>Within MinimumPlanned_t, minimize total changeovers, then unmet tons, then all preparation minutes and splits.</t>
        </is>
      </c>
    </row>
    <row r="12" ht="42" customHeight="1">
      <c r="A12" s="8" t="inlineStr">
        <is>
          <t>UnmetTolerance_t</t>
        </is>
      </c>
      <c r="B12" s="14" t="n">
        <v>0</v>
      </c>
      <c r="C12" s="8" t="inlineStr">
        <is>
          <t>Legacy output KPI only in changeover-first mode: throughput floor is instead controlled by MinimumPlanned_t.</t>
        </is>
      </c>
    </row>
    <row r="13" ht="42" customHeight="1">
      <c r="A13" s="8" t="inlineStr">
        <is>
          <t>UnmetToleranceScope</t>
        </is>
      </c>
      <c r="B13" s="8" t="inlineStr">
        <is>
          <t>TOTAL_PLAN</t>
        </is>
      </c>
      <c r="C13" s="8" t="inlineStr">
        <is>
          <t>Candidate total unmet &lt;= frozen baseline total unmet + UnmetTolerance_t. HARD targets are never relaxed by this allowance.</t>
        </is>
      </c>
    </row>
    <row r="14" ht="59" customHeight="1">
      <c r="A14" s="8" t="inlineStr">
        <is>
          <t>UnmetReferenceMode</t>
        </is>
      </c>
      <c r="B14" s="8" t="inlineStr">
        <is>
          <t>BEST_FOUND_BASELINE</t>
        </is>
      </c>
      <c r="C14" s="8" t="inlineStr">
        <is>
          <t>Use the lowest unmet found with the same operational constraints, inputs and target priorities before preference selection. Record that baseline in output; do not label it proven optimal unless proved.</t>
        </is>
      </c>
    </row>
    <row r="15" ht="42" customHeight="1">
      <c r="A15" s="8" t="inlineStr">
        <is>
          <t>CountCrossDayChangeovers</t>
        </is>
      </c>
      <c r="B15" s="8" t="n">
        <v>1</v>
      </c>
      <c r="C15" s="8" t="inlineStr">
        <is>
          <t>Include the transition from the previous day or the last non-idle product. Daily numeric limits are defined ONLY in changeover_rules.</t>
        </is>
      </c>
    </row>
    <row r="16" ht="42" customHeight="1">
      <c r="A16" s="8" t="inlineStr">
        <is>
          <t>ChangeoverAttribution</t>
        </is>
      </c>
      <c r="B16" s="8" t="inlineStr">
        <is>
          <t>NEW_PRODUCT_START_DAY</t>
        </is>
      </c>
      <c r="C16" s="8" t="inlineStr">
        <is>
          <t>Charge a product transition to the day on which the new product starts, not to the day on which the old product ended.</t>
        </is>
      </c>
    </row>
    <row r="17" ht="42" customHeight="1">
      <c r="A17" s="8" t="inlineStr">
        <is>
          <t>CountInitialSetupAsChangeover</t>
        </is>
      </c>
      <c r="B17" s="8" t="n">
        <v>0</v>
      </c>
      <c r="C17" s="8" t="inlineStr">
        <is>
          <t>Empty initial machine -&gt; first product is a setup, not a changeover. A known initial product -&gt; a different product IS a changeover. Both may consume preparation time.</t>
        </is>
      </c>
    </row>
    <row r="18" ht="42" customHeight="1">
      <c r="A18" s="8" t="inlineStr">
        <is>
          <t>IdleResetsProductState</t>
        </is>
      </c>
      <c r="B18" s="8" t="n">
        <v>0</v>
      </c>
      <c r="C18" s="8" t="inlineStr">
        <is>
          <t>Idle, closed or general-cleaning shifts do not erase the last-product state or the no-return history. No implicit cleaning-reset rule is assumed.</t>
        </is>
      </c>
    </row>
    <row r="19" ht="42" customHeight="1">
      <c r="A19" s="8" t="inlineStr">
        <is>
          <t>SequenceRuleSource</t>
        </is>
      </c>
      <c r="B19" s="14" t="inlineStr">
        <is>
          <t>sequence_rules</t>
        </is>
      </c>
      <c r="C19" s="8" t="inlineStr">
        <is>
          <t>Same-machine precedence applies only to eligible shared machines; no useless ordering pair required when the products have no shared eligible machine.</t>
        </is>
      </c>
    </row>
    <row r="20" ht="42" customHeight="1">
      <c r="A20" s="8" t="inlineStr">
        <is>
          <t>SequenceConflictPolicy</t>
        </is>
      </c>
      <c r="B20" s="8" t="inlineStr">
        <is>
          <t>ERROR</t>
        </is>
      </c>
      <c r="C20" s="8" t="inlineStr">
        <is>
          <t>Reject cycles, contradictory pairs and same-family Sequence_Order inconsistencies. Do not silently choose one conflicting source.</t>
        </is>
      </c>
    </row>
    <row r="21" ht="42" customHeight="1">
      <c r="A21" s="8" t="inlineStr">
        <is>
          <t>OptimizationMode</t>
        </is>
      </c>
      <c r="B21" s="8" t="inlineStr">
        <is>
          <t>HYBRID</t>
        </is>
      </c>
      <c r="C21" s="8" t="inlineStr">
        <is>
          <t>Hybrid: 200k unique heuristic candidate plans, primary transition-first MILP, and fixed-assignment second MILP.</t>
        </is>
      </c>
    </row>
    <row r="22" ht="42" customHeight="1">
      <c r="A22" s="8" t="inlineStr">
        <is>
          <t>HeuristicTrials</t>
        </is>
      </c>
      <c r="B22" s="14" t="n">
        <v>200000</v>
      </c>
      <c r="C22" s="8" t="inlineStr">
        <is>
          <t>Number of unique heuristic plans; repeated assignment + 0.01 t rounded quantity signatures are skipped and resampled.</t>
        </is>
      </c>
    </row>
    <row r="23" ht="42" customHeight="1">
      <c r="A23" s="8" t="inlineStr">
        <is>
          <t>MILPPolishTimeSec</t>
        </is>
      </c>
      <c r="B23" s="14" t="n">
        <v>30</v>
      </c>
      <c r="C23" s="8" t="inlineStr">
        <is>
          <t>MILP-1 budget: first minimize changeovers subject to MinimumPlanned_t, then maximize tons at that changeover level.</t>
        </is>
      </c>
    </row>
    <row r="24" ht="42" customHeight="1">
      <c r="A24" s="8" t="inlineStr">
        <is>
          <t>MILPNeighborhoodMode</t>
        </is>
      </c>
      <c r="B24" s="8" t="inlineStr">
        <is>
          <t>REALLOCATION_AND_RESEQUENCING</t>
        </is>
      </c>
      <c r="C24" s="8" t="inlineStr">
        <is>
          <t>Allow eligible machine-product assignments, product order and quantities to change. Do not freeze the heuristic topology. Keep the best valid candidate under the same comparison policy.</t>
        </is>
      </c>
    </row>
    <row r="25" ht="42" customHeight="1">
      <c r="A25" s="8" t="inlineStr">
        <is>
          <t>RuntimeLogging</t>
        </is>
      </c>
      <c r="B25" s="8" t="n">
        <v>1</v>
      </c>
      <c r="C25" s="8" t="inlineStr">
        <is>
          <t>Log heuristic, MILP model build, MILP solve, validation, Excel I/O and total wall-clock runtime. Also record solver status, bound/gap if available and actual attempts.</t>
        </is>
      </c>
    </row>
    <row r="26" ht="42" customHeight="1">
      <c r="A26" s="8" t="inlineStr">
        <is>
          <t>InputValidation</t>
        </is>
      </c>
      <c r="B26" s="8" t="inlineStr">
        <is>
          <t>STRICT</t>
        </is>
      </c>
      <c r="C26" s="8" t="inlineStr">
        <is>
          <t>Reject duplicate keys, invalid references, missing required values, invalid numbers, calendar conflicts and inconsistent rule sources before optimization.</t>
        </is>
      </c>
    </row>
    <row r="27" ht="42" customHeight="1">
      <c r="A27" s="8" t="inlineStr">
        <is>
          <t>UnknownParameterPolicy</t>
        </is>
      </c>
      <c r="B27" s="8" t="inlineStr">
        <is>
          <t>ERROR</t>
        </is>
      </c>
      <c r="C27" s="8" t="inlineStr">
        <is>
          <t>Reject unsupported parameters, scopes and objective IDs. This workbook defines inputs; it does not itself implement or execute the scheduling algorithm.</t>
        </is>
      </c>
    </row>
    <row r="28">
      <c r="A28" s="8" t="inlineStr">
        <is>
          <t>RandomSeed</t>
        </is>
      </c>
      <c r="B28" s="14" t="n">
        <v>20261008</v>
      </c>
      <c r="C28" s="8" t="inlineStr">
        <is>
          <t>Fixed seed for reproducible comparison; set 0 to draw a new random seed each run.</t>
        </is>
      </c>
    </row>
    <row r="29">
      <c r="A29" t="inlineStr">
        <is>
          <t>SecondMILPTimeSec</t>
        </is>
      </c>
      <c r="B29" s="15" t="n">
        <v>55</v>
      </c>
      <c r="C29" t="inlineStr">
        <is>
          <t>MILP-2 budget: fixed-pair resequencing that may improve tonnage without worsening higher-priority criteria.</t>
        </is>
      </c>
    </row>
    <row r="30">
      <c r="A30" t="inlineStr">
        <is>
          <t>MinimumPlanned_t</t>
        </is>
      </c>
      <c r="B30" s="16" t="n">
        <v>194.75</v>
      </c>
      <c r="C30" t="inlineStr">
        <is>
          <t>HARD guard, tons. 95% of the 205 t target prevents zero/low-output plans from winning a strictly changeover-first objective. Adjust according to acceptable minimum production; no global maximum transition count is imposed.</t>
        </is>
      </c>
    </row>
  </sheetData>
  <autoFilter ref="A1:C27"/>
  <conditionalFormatting sqref="A2:A1001">
    <cfRule type="expression" priority="1" dxfId="0">
      <formula>AND(A2&lt;&gt;"",COUNTIF($A$2:$A$1001,A2)&gt;1)</formula>
    </cfRule>
  </conditionalFormatting>
  <dataValidations count="14">
    <dataValidation sqref="B6:B10 B15 B17:B18 B25" showDropDown="0" showInputMessage="0" showErrorMessage="1" allowBlank="0" errorTitle="Invalid input" error="Choose a value from the list." type="list">
      <formula1>"0,1"</formula1>
    </dataValidation>
    <dataValidation sqref="B4 B12" showDropDown="0" showInputMessage="0" showErrorMessage="1" allowBlank="0" errorTitle="Invalid numeric input" error="Enter a valid nonnegative number or a value within the allowed limits." type="decimal" operator="greaterThanOrEqual">
      <formula1>0</formula1>
    </dataValidation>
    <dataValidation sqref="B5 B22" showDropDown="0" showInputMessage="0" showErrorMessage="1" allowBlank="0" errorTitle="Invalid numeric input" error="Enter a valid nonnegative number or a value within the allowed limits." type="whole" operator="greaterThanOrEqual">
      <formula1>1</formula1>
    </dataValidation>
    <dataValidation sqref="B3 B23" showDropDown="0" showInputMessage="0" showErrorMessage="1" allowBlank="0" errorTitle="Invalid numeric input" error="Enter a valid nonnegative number or a value within the allowed limits." type="decimal" operator="greaterThanOrEqual">
      <formula1>0.001</formula1>
    </dataValidation>
    <dataValidation sqref="B2" showDropDown="0" showInputMessage="0" showErrorMessage="1" allowBlank="0" errorTitle="Invalid input" error="Choose a value from the list." type="list">
      <formula1>"6.0"</formula1>
    </dataValidation>
    <dataValidation sqref="B11" showDropDown="0" showInputMessage="0" showErrorMessage="1" allowBlank="0" errorTitle="Invalid input" error="Choose a value from the list." type="list">
      <formula1>"LEXICOGRAPHIC_WITH_UNMET_TOLERANCE"</formula1>
    </dataValidation>
    <dataValidation sqref="B13" showDropDown="0" showInputMessage="0" showErrorMessage="1" allowBlank="0" errorTitle="Invalid input" error="Choose a value from the list." type="list">
      <formula1>"TOTAL_PLAN"</formula1>
    </dataValidation>
    <dataValidation sqref="B14" showDropDown="0" showInputMessage="0" showErrorMessage="1" allowBlank="0" errorTitle="Invalid input" error="Choose a value from the list." type="list">
      <formula1>"BEST_FOUND_BASELINE"</formula1>
    </dataValidation>
    <dataValidation sqref="B16" showDropDown="0" showInputMessage="0" showErrorMessage="1" allowBlank="0" errorTitle="Invalid input" error="Choose a value from the list." type="list">
      <formula1>"NEW_PRODUCT_START_DAY"</formula1>
    </dataValidation>
    <dataValidation sqref="B19" showDropDown="0" showInputMessage="0" showErrorMessage="1" allowBlank="0" errorTitle="Invalid input" error="Choose a value from the list." type="list">
      <formula1>"sequence_rules"</formula1>
    </dataValidation>
    <dataValidation sqref="B20 B27" showDropDown="0" showInputMessage="0" showErrorMessage="1" allowBlank="0" errorTitle="Invalid input" error="Choose a value from the list." type="list">
      <formula1>"ERROR"</formula1>
    </dataValidation>
    <dataValidation sqref="B21" showDropDown="0" showInputMessage="0" showErrorMessage="1" allowBlank="0" errorTitle="Invalid input" error="Choose a value from the list." type="list">
      <formula1>"HYBRID"</formula1>
    </dataValidation>
    <dataValidation sqref="B24" showDropDown="0" showInputMessage="0" showErrorMessage="1" allowBlank="0" errorTitle="Invalid input" error="Choose a value from the list." type="list">
      <formula1>"REALLOCATION_AND_RESEQUENCING"</formula1>
    </dataValidation>
    <dataValidation sqref="B26" showDropDown="0" showInputMessage="0" showErrorMessage="1" allowBlank="0" errorTitle="Invalid input" error="Choose a value from the list." type="list">
      <formula1>"STRICT"</formula1>
    </dataValidation>
  </dataValidations>
  <printOptions horizontalCentered="1"/>
  <pageMargins left="0.75" right="0.75" top="1" bottom="1" header="0.5" footer="0.5"/>
  <pageSetup orientation="landscape" paperSize="9" fitToHeight="0"/>
  <headerFooter>
    <oddHeader/>
    <oddFooter>&amp;CProduction planning input | v6&amp;RPage &amp;P /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Production planning input v6 - hybrid, allocation and changeover rules</dc:title>
  <dc:description xmlns:dc="http://purl.org/dc/elements/1.1/">Source: production_planning_input_v5_kabak_sequence.xlsx. Agreed v6 revisions: SOFT target modes, single-source objectives, cross-day changeovers, whole-plan unmet tolerance, explicit Kabak sequence pairs and soft product/family allocation preferences.</dc:description>
  <dc:subject xmlns:dc="http://purl.org/dc/elements/1.1/">Input only; scheduling has not been rerun with this revision.</dc:subject>
  <dcterms:created xmlns:dcterms="http://purl.org/dc/terms/" xmlns:xsi="http://www.w3.org/2001/XMLSchema-instance" xsi:type="dcterms:W3CDTF">2026-09-29T13:22:50Z</dcterms:created>
  <dcterms:modified xmlns:dcterms="http://purl.org/dc/terms/" xmlns:xsi="http://www.w3.org/2001/XMLSchema-instance" xsi:type="dcterms:W3CDTF">2026-10-09T08:59:50Z</dcterms:modified>
  <cp:lastModifiedBy>Hakan Dogan</cp:lastModifiedBy>
</cp:coreProperties>
</file>