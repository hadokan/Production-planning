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0" showVerticalScroll="0" showSheetTabs="1" xWindow="0" yWindow="0" windowWidth="19200" windowHeight="6930" tabRatio="600" firstSheet="1" activeTab="0" autoFilterDateGrouping="1"/>
  </bookViews>
  <sheets>
    <sheet xmlns:r="http://schemas.openxmlformats.org/officeDocument/2006/relationships" name="products" sheetId="1" state="visible" r:id="rId1"/>
    <sheet xmlns:r="http://schemas.openxmlformats.org/officeDocument/2006/relationships" name="machines" sheetId="2" state="visible" r:id="rId2"/>
    <sheet xmlns:r="http://schemas.openxmlformats.org/officeDocument/2006/relationships" name="machine_product" sheetId="3" state="visible" r:id="rId3"/>
    <sheet xmlns:r="http://schemas.openxmlformats.org/officeDocument/2006/relationships" name="targets" sheetId="4" state="visible" r:id="rId4"/>
    <sheet xmlns:r="http://schemas.openxmlformats.org/officeDocument/2006/relationships" name="calendar" sheetId="5" state="visible" r:id="rId5"/>
    <sheet xmlns:r="http://schemas.openxmlformats.org/officeDocument/2006/relationships" name="sequence_rules" sheetId="6" state="visible" r:id="rId6"/>
    <sheet xmlns:r="http://schemas.openxmlformats.org/officeDocument/2006/relationships" name="changeover_rules" sheetId="7" state="visible" r:id="rId7"/>
    <sheet xmlns:r="http://schemas.openxmlformats.org/officeDocument/2006/relationships" name="allocation_rules" sheetId="8" state="visible" r:id="rId8"/>
    <sheet xmlns:r="http://schemas.openxmlformats.org/officeDocument/2006/relationships" name="initial_state" sheetId="9" state="visible" r:id="rId9"/>
    <sheet xmlns:r="http://schemas.openxmlformats.org/officeDocument/2006/relationships" name="objectives" sheetId="10" state="visible" r:id="rId10"/>
    <sheet xmlns:r="http://schemas.openxmlformats.org/officeDocument/2006/relationships" name="settings" sheetId="11" state="visible" r:id="rId11"/>
  </sheets>
  <definedNames>
    <definedName name="Machine_IDs">tblMachines[Machine_ID]</definedName>
    <definedName name="Objective_IDs">#REF!</definedName>
    <definedName name="Product_IDs">tblProducts[Product_ID]</definedName>
    <definedName name="_xlnm.Print_Titles" localSheetId="0">'products'!$1:$1</definedName>
    <definedName name="_xlnm.Print_Area" localSheetId="0">'products'!$A$1:$F$11</definedName>
    <definedName name="_xlnm.Print_Titles" localSheetId="1">'machines'!$1:$1</definedName>
    <definedName name="_xlnm.Print_Area" localSheetId="1">'machines'!$A$1:$D$6</definedName>
    <definedName name="_xlnm.Print_Titles" localSheetId="2">'machine_product'!$1:$1</definedName>
    <definedName name="_xlnm.Print_Area" localSheetId="2">'machine_product'!$A$1:$H$51</definedName>
    <definedName name="_xlnm.Print_Titles" localSheetId="3">'targets'!$1:$1</definedName>
    <definedName name="_xlnm.Print_Area" localSheetId="3">'targets'!$A$1:$E$11</definedName>
    <definedName name="_xlnm.Print_Titles" localSheetId="4">'calendar'!$1:$1</definedName>
    <definedName name="_xlnm.Print_Area" localSheetId="4">'calendar'!$A$1:$F$61</definedName>
    <definedName name="_xlnm.Print_Titles" localSheetId="5">'sequence_rules'!$1:$1</definedName>
    <definedName name="_xlnm.Print_Area" localSheetId="5">'sequence_rules'!$A$1:$F$4</definedName>
    <definedName name="_xlnm.Print_Titles" localSheetId="6">'changeover_rules'!$1:$1</definedName>
    <definedName name="_xlnm.Print_Area" localSheetId="6">'changeover_rules'!$A$1:$F$2</definedName>
    <definedName name="_xlnm.Print_Titles" localSheetId="7">'allocation_rules'!$1:$1</definedName>
    <definedName name="_xlnm.Print_Area" localSheetId="7">'allocation_rules'!$A$1:$H$3</definedName>
    <definedName name="_xlnm.Print_Titles" localSheetId="8">'initial_state'!$1:$1</definedName>
    <definedName name="_xlnm.Print_Area" localSheetId="8">'initial_state'!$A$1:$D$6</definedName>
    <definedName name="_xlnm.Print_Titles" localSheetId="9">'objectives'!$1:$1</definedName>
    <definedName name="_xlnm.Print_Area" localSheetId="9">'objectives'!$A$1:$E$8</definedName>
    <definedName name="_xlnm.Print_Titles" localSheetId="10">'settings'!$1:$1</definedName>
    <definedName name="_xlnm.Print_Area" localSheetId="10">'settings'!$A$1:$C$30</definedName>
  </definedNames>
  <calcPr calcId="124519" calcMode="auto" fullCalcOnLoad="1"/>
</workbook>
</file>

<file path=xl/styles.xml><?xml version="1.0" encoding="utf-8"?>
<styleSheet xmlns="http://schemas.openxmlformats.org/spreadsheetml/2006/main">
  <numFmts count="1">
    <numFmt numFmtId="164" formatCode="0.000"/>
  </numFmts>
  <fonts count="14">
    <font>
      <name val="Calibri"/>
      <family val="2"/>
      <color theme="1"/>
      <sz val="11"/>
      <scheme val="minor"/>
    </font>
    <font>
      <name val="Calibri"/>
      <family val="2"/>
      <b val="1"/>
      <color rgb="FFFFFFFF"/>
      <sz val="11"/>
    </font>
    <font>
      <name val="Calibri"/>
      <family val="2"/>
      <color rgb="FF0000FF"/>
      <sz val="11"/>
    </font>
    <font>
      <name val="Calibri"/>
      <family val="2"/>
      <color rgb="FF666666"/>
      <sz val="11"/>
    </font>
    <font>
      <name val="Calibri"/>
      <family val="2"/>
      <b val="1"/>
      <color rgb="FFFFFFFF"/>
      <sz val="11"/>
    </font>
    <font>
      <name val="Calibri"/>
      <color rgb="000000FF"/>
      <sz val="10"/>
    </font>
    <font>
      <b val="1"/>
      <color rgb="007030A0"/>
    </font>
    <font>
      <color rgb="000000FF"/>
    </font>
    <font>
      <name val="Calibri"/>
      <b val="1"/>
      <color rgb="000000FF"/>
    </font>
    <font>
      <name val="Calibri"/>
      <family val="2"/>
      <b val="1"/>
      <color rgb="00000000"/>
      <sz val="10"/>
    </font>
    <font>
      <name val="Calibri"/>
      <family val="2"/>
      <color rgb="00000000"/>
      <sz val="10"/>
    </font>
    <font>
      <name val="Calibri"/>
      <color rgb="00000000"/>
      <sz val="10"/>
    </font>
    <font>
      <name val="Calibri"/>
      <family val="2"/>
      <color rgb="00000000"/>
      <sz val="10"/>
      <scheme val="minor"/>
    </font>
    <font>
      <name val="Calibri"/>
      <b val="1"/>
      <color rgb="00000000"/>
      <sz val="10"/>
    </font>
  </fonts>
  <fills count="6">
    <fill>
      <patternFill/>
    </fill>
    <fill>
      <patternFill patternType="gray125"/>
    </fill>
    <fill>
      <patternFill patternType="solid">
        <fgColor rgb="FF17365D"/>
      </patternFill>
    </fill>
    <fill>
      <patternFill patternType="solid">
        <fgColor rgb="FFE7E6E6"/>
      </patternFill>
    </fill>
    <fill>
      <patternFill patternType="solid">
        <fgColor rgb="FF1F4E78"/>
      </patternFill>
    </fill>
    <fill>
      <patternFill patternType="solid">
        <fgColor rgb="00FFF3CC"/>
      </patternFill>
    </fill>
  </fills>
  <borders count="2">
    <border>
      <left/>
      <right/>
      <top/>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32">
    <xf numFmtId="0" fontId="0" fillId="0" borderId="0" pivotButton="0" quotePrefix="0" xfId="0"/>
    <xf numFmtId="0" fontId="1" fillId="2" borderId="0" applyAlignment="1" pivotButton="0" quotePrefix="0" xfId="0">
      <alignment horizontal="center" vertical="center" wrapText="1"/>
    </xf>
    <xf numFmtId="0" fontId="3" fillId="3" borderId="0" applyAlignment="1" pivotButton="0" quotePrefix="0" xfId="0">
      <alignment vertical="center" wrapText="1"/>
    </xf>
    <xf numFmtId="0" fontId="2" fillId="0" borderId="0" applyAlignment="1" pivotButton="0" quotePrefix="0" xfId="0">
      <alignment vertical="center" wrapText="1"/>
    </xf>
    <xf numFmtId="2" fontId="2" fillId="0" borderId="0" applyAlignment="1" pivotButton="0" quotePrefix="0" xfId="0">
      <alignment vertical="center" wrapText="1"/>
    </xf>
    <xf numFmtId="0" fontId="4" fillId="4" borderId="0" applyAlignment="1" pivotButton="0" quotePrefix="0" xfId="0">
      <alignment horizontal="center" vertical="center" wrapText="1"/>
    </xf>
    <xf numFmtId="0" fontId="0" fillId="0" borderId="0" applyAlignment="1" pivotButton="0" quotePrefix="0" xfId="0">
      <alignment vertical="top" wrapText="1"/>
    </xf>
    <xf numFmtId="0" fontId="1" fillId="2" borderId="0" applyAlignment="1" pivotButton="0" quotePrefix="0" xfId="0">
      <alignment vertical="top" wrapText="1"/>
    </xf>
    <xf numFmtId="0" fontId="2" fillId="0" borderId="0" applyAlignment="1" pivotButton="0" quotePrefix="0" xfId="0">
      <alignment vertical="top" wrapText="1"/>
    </xf>
    <xf numFmtId="164" fontId="2" fillId="0" borderId="0" applyAlignment="1" pivotButton="0" quotePrefix="0" xfId="0">
      <alignment vertical="center" wrapText="1"/>
    </xf>
    <xf numFmtId="164" fontId="0" fillId="0" borderId="0" pivotButton="0" quotePrefix="0" xfId="0"/>
    <xf numFmtId="0" fontId="5" fillId="0" borderId="0" applyAlignment="1" pivotButton="0" quotePrefix="0" xfId="0">
      <alignment vertical="center" wrapText="1"/>
    </xf>
    <xf numFmtId="0" fontId="6" fillId="0" borderId="0" applyAlignment="1" pivotButton="0" quotePrefix="0" xfId="0">
      <alignment vertical="center" wrapText="1"/>
    </xf>
    <xf numFmtId="0" fontId="7" fillId="0" borderId="0" applyAlignment="1" pivotButton="0" quotePrefix="0" xfId="0">
      <alignment vertical="center" wrapText="1"/>
    </xf>
    <xf numFmtId="0" fontId="5" fillId="0" borderId="0" applyAlignment="1" pivotButton="0" quotePrefix="0" xfId="0">
      <alignment vertical="top" wrapText="1"/>
    </xf>
    <xf numFmtId="0" fontId="5" fillId="0" borderId="0" pivotButton="0" quotePrefix="0" xfId="0"/>
    <xf numFmtId="0" fontId="8" fillId="5" borderId="0" pivotButton="0" quotePrefix="0" xfId="0"/>
    <xf numFmtId="0" fontId="9" fillId="0" borderId="1" applyAlignment="1" pivotButton="0" quotePrefix="0" xfId="0">
      <alignment horizontal="left" vertical="center" wrapText="1"/>
    </xf>
    <xf numFmtId="0" fontId="10" fillId="0" borderId="1" applyAlignment="1" pivotButton="0" quotePrefix="0" xfId="0">
      <alignment horizontal="left" vertical="center"/>
    </xf>
    <xf numFmtId="0" fontId="10" fillId="0" borderId="1" applyAlignment="1" pivotButton="0" quotePrefix="0" xfId="0">
      <alignment horizontal="right" vertical="center"/>
    </xf>
    <xf numFmtId="2" fontId="10" fillId="0" borderId="1" applyAlignment="1" pivotButton="0" quotePrefix="0" xfId="0">
      <alignment horizontal="right" vertical="center"/>
    </xf>
    <xf numFmtId="0" fontId="11" fillId="0" borderId="1" applyAlignment="1" pivotButton="0" quotePrefix="0" xfId="0">
      <alignment horizontal="right" vertical="center"/>
    </xf>
    <xf numFmtId="164" fontId="10" fillId="0" borderId="1" applyAlignment="1" pivotButton="0" quotePrefix="0" xfId="0">
      <alignment horizontal="right" vertical="center"/>
    </xf>
    <xf numFmtId="164" fontId="12" fillId="0" borderId="1" applyAlignment="1" pivotButton="0" quotePrefix="0" xfId="0">
      <alignment horizontal="right" vertical="center"/>
    </xf>
    <xf numFmtId="0" fontId="12" fillId="0" borderId="1" applyAlignment="1" pivotButton="0" quotePrefix="0" xfId="0">
      <alignment horizontal="right" vertical="center"/>
    </xf>
    <xf numFmtId="0" fontId="12" fillId="0" borderId="1" applyAlignment="1" pivotButton="0" quotePrefix="0" xfId="0">
      <alignment horizontal="left" vertical="center"/>
    </xf>
    <xf numFmtId="0" fontId="10" fillId="0" borderId="1" applyAlignment="1" pivotButton="0" quotePrefix="0" xfId="0">
      <alignment horizontal="left" vertical="center" wrapText="1"/>
    </xf>
    <xf numFmtId="0" fontId="12" fillId="0" borderId="1" applyAlignment="1" pivotButton="0" quotePrefix="0" xfId="0">
      <alignment horizontal="left" vertical="center" wrapText="1"/>
    </xf>
    <xf numFmtId="0" fontId="11" fillId="0" borderId="1" applyAlignment="1" pivotButton="0" quotePrefix="0" xfId="0">
      <alignment horizontal="left" vertical="center"/>
    </xf>
    <xf numFmtId="0" fontId="13" fillId="0" borderId="1" pivotButton="0" quotePrefix="0" xfId="0"/>
    <xf numFmtId="9" fontId="11" fillId="0" borderId="1" applyAlignment="1" pivotButton="0" quotePrefix="0" xfId="0">
      <alignment horizontal="center"/>
    </xf>
    <xf numFmtId="164" fontId="11" fillId="0" borderId="1" applyAlignment="1" pivotButton="0" quotePrefix="0" xfId="0">
      <alignment horizontal="right"/>
    </xf>
  </cellXfs>
  <cellStyles count="1">
    <cellStyle name="Normal" xfId="0" builtinId="0"/>
  </cellStyles>
  <dxfs count="8">
    <dxf>
      <fill>
        <patternFill patternType="solid">
          <fgColor rgb="FFFFF2CC"/>
        </patternFill>
      </fill>
    </dxf>
    <dxf>
      <fill>
        <patternFill patternType="solid">
          <fgColor rgb="FFFFF2CC"/>
        </patternFill>
      </fill>
    </dxf>
    <dxf>
      <fill>
        <patternFill patternType="solid">
          <fgColor rgb="FFFFF2CC"/>
        </patternFill>
      </fill>
    </dxf>
    <dxf>
      <fill>
        <patternFill patternType="solid">
          <fgColor rgb="FFFFF2CC"/>
        </patternFill>
      </fill>
    </dxf>
    <dxf>
      <fill>
        <patternFill patternType="solid">
          <fgColor rgb="FFFFF2CC"/>
        </patternFill>
      </fill>
    </dxf>
    <dxf>
      <fill>
        <patternFill patternType="solid">
          <fgColor rgb="FFFFF2CC"/>
        </patternFill>
      </fill>
    </dxf>
    <dxf>
      <fill>
        <patternFill patternType="solid">
          <fgColor rgb="FFFFF2CC"/>
        </patternFill>
      </fill>
    </dxf>
    <dxf>
      <fill>
        <patternFill patternType="solid">
          <fgColor rgb="FFFFF2C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F11"/>
  <sheetViews>
    <sheetView showGridLines="0" topLeftCell="A1" zoomScale="90" zoomScaleNormal="100" workbookViewId="0">
      <selection pane="bottomLeft" activeCell="B14" sqref="B14"/>
    </sheetView>
  </sheetViews>
  <sheetFormatPr baseColWidth="8" defaultRowHeight="14.5"/>
  <cols>
    <col width="13" customWidth="1" min="1" max="1"/>
    <col width="31" customWidth="1" min="2" max="2"/>
    <col width="20" customWidth="1" min="3" max="3"/>
    <col width="16" customWidth="1" min="4" max="5"/>
    <col width="17" customWidth="1" min="5" max="5"/>
    <col width="11" customWidth="1" min="6" max="6"/>
  </cols>
  <sheetData>
    <row r="1" ht="29" customHeight="1">
      <c r="A1" s="17" t="inlineStr">
        <is>
          <t>Product_ID</t>
        </is>
      </c>
      <c r="B1" s="17" t="inlineStr">
        <is>
          <t>Product</t>
        </is>
      </c>
      <c r="C1" s="17" t="inlineStr">
        <is>
          <t>Family</t>
        </is>
      </c>
      <c r="D1" s="17" t="inlineStr">
        <is>
          <t>Salt_Status</t>
        </is>
      </c>
      <c r="E1" s="17" t="inlineStr">
        <is>
          <t>Sequence_Order</t>
        </is>
      </c>
      <c r="F1" s="17" t="inlineStr">
        <is>
          <t>Priority</t>
        </is>
      </c>
    </row>
    <row r="2" ht="23" customHeight="1">
      <c r="A2" s="18" t="inlineStr">
        <is>
          <t>P001</t>
        </is>
      </c>
      <c r="B2" s="18" t="inlineStr">
        <is>
          <t>Ayçekirdeği tuzsuz</t>
        </is>
      </c>
      <c r="C2" s="18" t="inlineStr">
        <is>
          <t>Ayçekirdeği</t>
        </is>
      </c>
      <c r="D2" s="18" t="inlineStr">
        <is>
          <t>UNSALTED</t>
        </is>
      </c>
      <c r="E2" s="19" t="n">
        <v>1</v>
      </c>
      <c r="F2" s="19" t="n">
        <v>1</v>
      </c>
    </row>
    <row r="3" ht="23" customHeight="1">
      <c r="A3" s="18" t="inlineStr">
        <is>
          <t>P002</t>
        </is>
      </c>
      <c r="B3" s="18" t="inlineStr">
        <is>
          <t>Ayçekirdeği tuzlu</t>
        </is>
      </c>
      <c r="C3" s="18" t="inlineStr">
        <is>
          <t>Ayçekirdeği</t>
        </is>
      </c>
      <c r="D3" s="18" t="inlineStr">
        <is>
          <t>SALTED</t>
        </is>
      </c>
      <c r="E3" s="19" t="n">
        <v>2</v>
      </c>
      <c r="F3" s="19" t="n">
        <v>1</v>
      </c>
    </row>
    <row r="4" ht="23" customHeight="1">
      <c r="A4" s="18" t="inlineStr">
        <is>
          <t>P003</t>
        </is>
      </c>
      <c r="B4" s="18" t="inlineStr">
        <is>
          <t>Kabak Nevşehir (salamura)</t>
        </is>
      </c>
      <c r="C4" s="18" t="inlineStr">
        <is>
          <t>Kabak</t>
        </is>
      </c>
      <c r="D4" s="18" t="inlineStr">
        <is>
          <t>SALTED</t>
        </is>
      </c>
      <c r="E4" s="19" t="n">
        <v>2</v>
      </c>
      <c r="F4" s="19" t="n">
        <v>1</v>
      </c>
    </row>
    <row r="5" ht="23" customHeight="1">
      <c r="A5" s="18" t="inlineStr">
        <is>
          <t>P004</t>
        </is>
      </c>
      <c r="B5" s="18" t="inlineStr">
        <is>
          <t>Kabak Kav. Tuzsuz</t>
        </is>
      </c>
      <c r="C5" s="18" t="inlineStr">
        <is>
          <t>Kabak</t>
        </is>
      </c>
      <c r="D5" s="18" t="inlineStr">
        <is>
          <t>UNSALTED</t>
        </is>
      </c>
      <c r="E5" s="19" t="n">
        <v>1</v>
      </c>
      <c r="F5" s="19" t="n">
        <v>1</v>
      </c>
    </row>
    <row r="6" ht="23" customHeight="1">
      <c r="A6" s="18" t="inlineStr">
        <is>
          <t>P005</t>
        </is>
      </c>
      <c r="B6" s="18" t="inlineStr">
        <is>
          <t>Kabak Çifte Kav.</t>
        </is>
      </c>
      <c r="C6" s="18" t="inlineStr">
        <is>
          <t>Kabak</t>
        </is>
      </c>
      <c r="D6" s="18" t="inlineStr">
        <is>
          <t>SALTED</t>
        </is>
      </c>
      <c r="E6" s="19" t="n">
        <v>2</v>
      </c>
      <c r="F6" s="19" t="n">
        <v>1</v>
      </c>
    </row>
    <row r="7" ht="23" customHeight="1">
      <c r="A7" s="18" t="inlineStr">
        <is>
          <t>P006</t>
        </is>
      </c>
      <c r="B7" s="18" t="inlineStr">
        <is>
          <t>Badem kavurma</t>
        </is>
      </c>
      <c r="C7" s="18" t="inlineStr">
        <is>
          <t>Badem</t>
        </is>
      </c>
      <c r="D7" s="18" t="inlineStr">
        <is>
          <t>NONE</t>
        </is>
      </c>
      <c r="E7" s="19" t="n">
        <v>1</v>
      </c>
      <c r="F7" s="19" t="n">
        <v>1</v>
      </c>
    </row>
    <row r="8" ht="23" customHeight="1">
      <c r="A8" s="18" t="inlineStr">
        <is>
          <t>P007</t>
        </is>
      </c>
      <c r="B8" s="18" t="inlineStr">
        <is>
          <t>Kaju kavurma</t>
        </is>
      </c>
      <c r="C8" s="18" t="inlineStr">
        <is>
          <t>Kaju</t>
        </is>
      </c>
      <c r="D8" s="18" t="inlineStr">
        <is>
          <t>NONE</t>
        </is>
      </c>
      <c r="E8" s="19" t="n">
        <v>1</v>
      </c>
      <c r="F8" s="19" t="n">
        <v>1</v>
      </c>
    </row>
    <row r="9" ht="23" customHeight="1">
      <c r="A9" s="18" t="inlineStr">
        <is>
          <t>P008</t>
        </is>
      </c>
      <c r="B9" s="18" t="inlineStr">
        <is>
          <t>Fıstık Tuzlu Lüks</t>
        </is>
      </c>
      <c r="C9" s="18" t="inlineStr">
        <is>
          <t>Fıstık Lüks</t>
        </is>
      </c>
      <c r="D9" s="18" t="inlineStr">
        <is>
          <t>SALTED</t>
        </is>
      </c>
      <c r="E9" s="19" t="n">
        <v>2</v>
      </c>
      <c r="F9" s="19" t="n">
        <v>1</v>
      </c>
    </row>
    <row r="10" ht="23" customHeight="1">
      <c r="A10" s="18" t="inlineStr">
        <is>
          <t>P009</t>
        </is>
      </c>
      <c r="B10" s="18" t="inlineStr">
        <is>
          <t>Fıstık Tuzsuz Lüks</t>
        </is>
      </c>
      <c r="C10" s="18" t="inlineStr">
        <is>
          <t>Fıstık Lüks</t>
        </is>
      </c>
      <c r="D10" s="18" t="inlineStr">
        <is>
          <t>UNSALTED</t>
        </is>
      </c>
      <c r="E10" s="19" t="n">
        <v>1</v>
      </c>
      <c r="F10" s="19" t="n">
        <v>1</v>
      </c>
    </row>
    <row r="11" ht="23" customHeight="1">
      <c r="A11" s="18" t="inlineStr">
        <is>
          <t>P010</t>
        </is>
      </c>
      <c r="B11" s="18" t="inlineStr">
        <is>
          <t>Fıstık Kabuklu</t>
        </is>
      </c>
      <c r="C11" s="18" t="inlineStr">
        <is>
          <t>Fıstık Kabuklu</t>
        </is>
      </c>
      <c r="D11" s="18" t="inlineStr">
        <is>
          <t>NONE</t>
        </is>
      </c>
      <c r="E11" s="19" t="n">
        <v>1</v>
      </c>
      <c r="F11" s="19" t="n">
        <v>1</v>
      </c>
    </row>
  </sheetData>
  <dataValidations count="2">
    <dataValidation sqref="D2:D1001" showDropDown="0" showInputMessage="0" showErrorMessage="1" allowBlank="0" errorTitle="Invalid input" error="Choose a value from the list." type="list">
      <formula1>"UNSALTED,SALTED,NONE"</formula1>
    </dataValidation>
    <dataValidation sqref="E2:F1001" showDropDown="0" showInputMessage="0" showErrorMessage="1" allowBlank="0" errorTitle="Invalid numeric input" error="Enter a valid nonnegative number or a value within the allowed limits." type="whole" operator="greaterThanOrEqual">
      <formula1>1</formula1>
    </dataValidation>
  </dataValidations>
  <printOptions horizontalCentered="0"/>
  <pageMargins left="0.75" right="0.75" top="1" bottom="1" header="0.5" footer="0.5"/>
  <pageSetup orientation="landscape" paperSize="9" fitToHeight="0" fitToWidth="1"/>
  <headerFooter>
    <oddHeader/>
    <oddFooter>&amp;CProduction planning input | v6&amp;RPage &amp;P / &amp;N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D6"/>
  <sheetViews>
    <sheetView showGridLines="0" topLeftCell="A1" zoomScale="90" zoomScaleNormal="100" workbookViewId="0">
      <selection pane="bottomLeft" activeCell="A1" sqref="A1"/>
    </sheetView>
  </sheetViews>
  <sheetFormatPr baseColWidth="8" defaultRowHeight="14.5"/>
  <cols>
    <col width="14" customWidth="1" min="1" max="1"/>
    <col width="20" customWidth="1" min="2" max="2"/>
    <col width="12" customWidth="1" min="3" max="4"/>
    <col width="13" customWidth="1" min="4" max="4"/>
  </cols>
  <sheetData>
    <row r="1" ht="29" customHeight="1">
      <c r="A1" s="17" t="inlineStr">
        <is>
          <t>Machine_ID</t>
        </is>
      </c>
      <c r="B1" s="17" t="inlineStr">
        <is>
          <t>Machine</t>
        </is>
      </c>
      <c r="C1" s="17" t="inlineStr">
        <is>
          <t>Active</t>
        </is>
      </c>
      <c r="D1" s="17" t="inlineStr">
        <is>
          <t>Priority</t>
        </is>
      </c>
    </row>
    <row r="2" ht="23" customHeight="1">
      <c r="A2" s="18" t="inlineStr">
        <is>
          <t>M001</t>
        </is>
      </c>
      <c r="B2" s="18" t="inlineStr">
        <is>
          <t>CS1</t>
        </is>
      </c>
      <c r="C2" s="19" t="n">
        <v>1</v>
      </c>
      <c r="D2" s="19" t="n">
        <v>1</v>
      </c>
    </row>
    <row r="3" ht="23" customHeight="1">
      <c r="A3" s="18" t="inlineStr">
        <is>
          <t>M002</t>
        </is>
      </c>
      <c r="B3" s="18" t="inlineStr">
        <is>
          <t>CS2</t>
        </is>
      </c>
      <c r="C3" s="19" t="n">
        <v>1</v>
      </c>
      <c r="D3" s="19" t="n">
        <v>2</v>
      </c>
    </row>
    <row r="4" ht="23" customHeight="1">
      <c r="A4" s="18" t="inlineStr">
        <is>
          <t>M003</t>
        </is>
      </c>
      <c r="B4" s="18" t="inlineStr">
        <is>
          <t>EB1</t>
        </is>
      </c>
      <c r="C4" s="19" t="n">
        <v>1</v>
      </c>
      <c r="D4" s="19" t="n">
        <v>1</v>
      </c>
    </row>
    <row r="5" ht="23" customHeight="1">
      <c r="A5" s="18" t="inlineStr">
        <is>
          <t>M004</t>
        </is>
      </c>
      <c r="B5" s="18" t="inlineStr">
        <is>
          <t>EB2</t>
        </is>
      </c>
      <c r="C5" s="19" t="n">
        <v>1</v>
      </c>
      <c r="D5" s="19" t="n">
        <v>2</v>
      </c>
    </row>
    <row r="6" ht="23" customHeight="1">
      <c r="A6" s="18" t="inlineStr">
        <is>
          <t>M005</t>
        </is>
      </c>
      <c r="B6" s="18" t="inlineStr">
        <is>
          <t>CS3</t>
        </is>
      </c>
      <c r="C6" s="19" t="n">
        <v>1</v>
      </c>
      <c r="D6" s="19" t="n">
        <v>1</v>
      </c>
    </row>
  </sheetData>
  <dataValidations count="2">
    <dataValidation sqref="C2:C1001" showDropDown="0" showInputMessage="0" showErrorMessage="1" allowBlank="0" errorTitle="Invalid input" error="Choose a value from the list." type="list">
      <formula1>"0,1"</formula1>
    </dataValidation>
    <dataValidation sqref="D2:D1001" showDropDown="0" showInputMessage="0" showErrorMessage="1" allowBlank="0" errorTitle="Invalid numeric input" error="Enter a valid nonnegative number or a value within the allowed limits." type="whole" operator="greaterThanOrEqual">
      <formula1>1</formula1>
    </dataValidation>
  </dataValidations>
  <printOptions horizontalCentered="0"/>
  <pageMargins left="0.75" right="0.75" top="1" bottom="1" header="0.5" footer="0.5"/>
  <pageSetup orientation="landscape" paperSize="9" fitToHeight="0" fitToWidth="1"/>
  <headerFooter>
    <oddHeader/>
    <oddFooter>&amp;CProduction planning input | v6&amp;RPage &amp;P / &amp;N</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H51"/>
  <sheetViews>
    <sheetView showGridLines="0" topLeftCell="A1" zoomScale="90" zoomScaleNormal="100" workbookViewId="0">
      <selection pane="bottomLeft" activeCell="D54" sqref="D54"/>
    </sheetView>
  </sheetViews>
  <sheetFormatPr baseColWidth="8" defaultRowHeight="14.5"/>
  <cols>
    <col width="14" customWidth="1" min="1" max="2"/>
    <col width="14" customWidth="1" min="2" max="2"/>
    <col width="11" customWidth="1" min="3" max="3"/>
    <col width="19" customWidth="1" min="4" max="4"/>
    <col width="17" customWidth="1" min="5" max="5"/>
    <col width="15" customWidth="1" min="6" max="6"/>
    <col width="16" customWidth="1" min="7" max="7"/>
    <col width="20" customWidth="1" min="8" max="8"/>
  </cols>
  <sheetData>
    <row r="1" ht="29" customHeight="1">
      <c r="A1" s="17" t="inlineStr">
        <is>
          <t>Machine_ID</t>
        </is>
      </c>
      <c r="B1" s="17" t="inlineStr">
        <is>
          <t>Product_ID</t>
        </is>
      </c>
      <c r="C1" s="17" t="inlineStr">
        <is>
          <t>Allowed</t>
        </is>
      </c>
      <c r="D1" s="17" t="inlineStr">
        <is>
          <t>MachinePriority</t>
        </is>
      </c>
      <c r="E1" s="17" t="inlineStr">
        <is>
          <t>Capacity_tph</t>
        </is>
      </c>
      <c r="F1" s="17" t="inlineStr">
        <is>
          <t>MinRun_t</t>
        </is>
      </c>
      <c r="G1" s="17" t="inlineStr">
        <is>
          <t>MaxDaily_t</t>
        </is>
      </c>
      <c r="H1" s="17" t="inlineStr">
        <is>
          <t>Preparation_min</t>
        </is>
      </c>
    </row>
    <row r="2" ht="23" customHeight="1">
      <c r="A2" s="18" t="inlineStr">
        <is>
          <t>M001</t>
        </is>
      </c>
      <c r="B2" s="18" t="inlineStr">
        <is>
          <t>P001</t>
        </is>
      </c>
      <c r="C2" s="19" t="n">
        <v>1</v>
      </c>
      <c r="D2" s="19" t="n">
        <v>1</v>
      </c>
      <c r="E2" s="20" t="n">
        <v>1.5</v>
      </c>
      <c r="F2" s="19">
        <f>E2*3</f>
        <v/>
      </c>
      <c r="G2" s="19">
        <f>E2*8</f>
        <v/>
      </c>
      <c r="H2" s="21" t="n">
        <v>40</v>
      </c>
    </row>
    <row r="3" ht="23" customHeight="1">
      <c r="A3" s="18" t="inlineStr">
        <is>
          <t>M001</t>
        </is>
      </c>
      <c r="B3" s="18" t="inlineStr">
        <is>
          <t>P002</t>
        </is>
      </c>
      <c r="C3" s="19" t="n">
        <v>1</v>
      </c>
      <c r="D3" s="19" t="n">
        <v>1</v>
      </c>
      <c r="E3" s="20" t="n">
        <v>1.75</v>
      </c>
      <c r="F3" s="19">
        <f>E3*3</f>
        <v/>
      </c>
      <c r="G3" s="19">
        <f>E3*8</f>
        <v/>
      </c>
      <c r="H3" s="21" t="n">
        <v>40</v>
      </c>
    </row>
    <row r="4" ht="23" customHeight="1">
      <c r="A4" s="18" t="inlineStr">
        <is>
          <t>M001</t>
        </is>
      </c>
      <c r="B4" s="18" t="inlineStr">
        <is>
          <t>P003</t>
        </is>
      </c>
      <c r="C4" s="19" t="n">
        <v>0</v>
      </c>
      <c r="D4" s="18" t="n"/>
      <c r="E4" s="19" t="n">
        <v>0</v>
      </c>
      <c r="F4" s="19">
        <f>E4*3</f>
        <v/>
      </c>
      <c r="G4" s="19">
        <f>E4*8</f>
        <v/>
      </c>
      <c r="H4" s="21" t="n">
        <v>40</v>
      </c>
    </row>
    <row r="5" ht="23" customHeight="1">
      <c r="A5" s="18" t="inlineStr">
        <is>
          <t>M001</t>
        </is>
      </c>
      <c r="B5" s="18" t="inlineStr">
        <is>
          <t>P004</t>
        </is>
      </c>
      <c r="C5" s="19" t="n">
        <v>1</v>
      </c>
      <c r="D5" s="19" t="n">
        <v>1</v>
      </c>
      <c r="E5" s="20" t="n">
        <v>1.2</v>
      </c>
      <c r="F5" s="19">
        <f>E5*3</f>
        <v/>
      </c>
      <c r="G5" s="19">
        <f>E5*8</f>
        <v/>
      </c>
      <c r="H5" s="21" t="n">
        <v>40</v>
      </c>
    </row>
    <row r="6" ht="23" customHeight="1">
      <c r="A6" s="18" t="inlineStr">
        <is>
          <t>M001</t>
        </is>
      </c>
      <c r="B6" s="18" t="inlineStr">
        <is>
          <t>P005</t>
        </is>
      </c>
      <c r="C6" s="19" t="n">
        <v>1</v>
      </c>
      <c r="D6" s="19" t="n">
        <v>1</v>
      </c>
      <c r="E6" s="20" t="n">
        <v>1.5</v>
      </c>
      <c r="F6" s="19">
        <f>E6*3</f>
        <v/>
      </c>
      <c r="G6" s="19">
        <f>E6*8</f>
        <v/>
      </c>
      <c r="H6" s="21" t="n">
        <v>40</v>
      </c>
    </row>
    <row r="7" ht="23" customHeight="1">
      <c r="A7" s="18" t="inlineStr">
        <is>
          <t>M001</t>
        </is>
      </c>
      <c r="B7" s="18" t="inlineStr">
        <is>
          <t>P006</t>
        </is>
      </c>
      <c r="C7" s="19" t="n">
        <v>0</v>
      </c>
      <c r="D7" s="18" t="n"/>
      <c r="E7" s="19" t="n">
        <v>0</v>
      </c>
      <c r="F7" s="19">
        <f>E7*3</f>
        <v/>
      </c>
      <c r="G7" s="19">
        <f>E7*8</f>
        <v/>
      </c>
      <c r="H7" s="21" t="n">
        <v>40</v>
      </c>
    </row>
    <row r="8" ht="23" customHeight="1">
      <c r="A8" s="18" t="inlineStr">
        <is>
          <t>M001</t>
        </is>
      </c>
      <c r="B8" s="18" t="inlineStr">
        <is>
          <t>P007</t>
        </is>
      </c>
      <c r="C8" s="19" t="n">
        <v>0</v>
      </c>
      <c r="D8" s="18" t="n"/>
      <c r="E8" s="19" t="n">
        <v>0</v>
      </c>
      <c r="F8" s="19">
        <f>E8*3</f>
        <v/>
      </c>
      <c r="G8" s="19">
        <f>E8*8</f>
        <v/>
      </c>
      <c r="H8" s="21" t="n">
        <v>40</v>
      </c>
    </row>
    <row r="9" ht="23" customHeight="1">
      <c r="A9" s="18" t="inlineStr">
        <is>
          <t>M001</t>
        </is>
      </c>
      <c r="B9" s="18" t="inlineStr">
        <is>
          <t>P008</t>
        </is>
      </c>
      <c r="C9" s="19" t="n">
        <v>1</v>
      </c>
      <c r="D9" s="19" t="n">
        <v>1</v>
      </c>
      <c r="E9" s="20" t="n">
        <v>1.8</v>
      </c>
      <c r="F9" s="19">
        <f>E9*3</f>
        <v/>
      </c>
      <c r="G9" s="19">
        <f>E9*8</f>
        <v/>
      </c>
      <c r="H9" s="21" t="n">
        <v>40</v>
      </c>
    </row>
    <row r="10" ht="23" customHeight="1">
      <c r="A10" s="18" t="inlineStr">
        <is>
          <t>M001</t>
        </is>
      </c>
      <c r="B10" s="18" t="inlineStr">
        <is>
          <t>P009</t>
        </is>
      </c>
      <c r="C10" s="19" t="n">
        <v>1</v>
      </c>
      <c r="D10" s="19" t="n">
        <v>1</v>
      </c>
      <c r="E10" s="20" t="n">
        <v>1.6</v>
      </c>
      <c r="F10" s="19">
        <f>E10*3</f>
        <v/>
      </c>
      <c r="G10" s="19">
        <f>E10*8</f>
        <v/>
      </c>
      <c r="H10" s="21" t="n">
        <v>40</v>
      </c>
    </row>
    <row r="11" ht="23" customHeight="1">
      <c r="A11" s="18" t="inlineStr">
        <is>
          <t>M001</t>
        </is>
      </c>
      <c r="B11" s="18" t="inlineStr">
        <is>
          <t>P010</t>
        </is>
      </c>
      <c r="C11" s="19" t="n">
        <v>1</v>
      </c>
      <c r="D11" s="19" t="n">
        <v>2</v>
      </c>
      <c r="E11" s="20" t="n">
        <v>1.5</v>
      </c>
      <c r="F11" s="19">
        <f>E11*3</f>
        <v/>
      </c>
      <c r="G11" s="19">
        <f>E11*8</f>
        <v/>
      </c>
      <c r="H11" s="21" t="n">
        <v>40</v>
      </c>
    </row>
    <row r="12" ht="23" customHeight="1">
      <c r="A12" s="18" t="inlineStr">
        <is>
          <t>M002</t>
        </is>
      </c>
      <c r="B12" s="18" t="inlineStr">
        <is>
          <t>P001</t>
        </is>
      </c>
      <c r="C12" s="19" t="n">
        <v>1</v>
      </c>
      <c r="D12" s="19" t="n">
        <v>2</v>
      </c>
      <c r="E12" s="20" t="n">
        <v>1.5</v>
      </c>
      <c r="F12" s="19">
        <f>E12*3</f>
        <v/>
      </c>
      <c r="G12" s="19">
        <f>E12*8</f>
        <v/>
      </c>
      <c r="H12" s="21" t="n">
        <v>40</v>
      </c>
    </row>
    <row r="13" ht="23" customHeight="1">
      <c r="A13" s="18" t="inlineStr">
        <is>
          <t>M002</t>
        </is>
      </c>
      <c r="B13" s="18" t="inlineStr">
        <is>
          <t>P002</t>
        </is>
      </c>
      <c r="C13" s="19" t="n">
        <v>1</v>
      </c>
      <c r="D13" s="19" t="n">
        <v>2</v>
      </c>
      <c r="E13" s="20" t="n">
        <v>1.75</v>
      </c>
      <c r="F13" s="19">
        <f>E13*3</f>
        <v/>
      </c>
      <c r="G13" s="19">
        <f>E13*8</f>
        <v/>
      </c>
      <c r="H13" s="21" t="n">
        <v>40</v>
      </c>
    </row>
    <row r="14" ht="23" customHeight="1">
      <c r="A14" s="18" t="inlineStr">
        <is>
          <t>M002</t>
        </is>
      </c>
      <c r="B14" s="18" t="inlineStr">
        <is>
          <t>P003</t>
        </is>
      </c>
      <c r="C14" s="19" t="n">
        <v>0</v>
      </c>
      <c r="D14" s="18" t="n"/>
      <c r="E14" s="19" t="n">
        <v>0</v>
      </c>
      <c r="F14" s="19">
        <f>E14*3</f>
        <v/>
      </c>
      <c r="G14" s="19">
        <f>E14*8</f>
        <v/>
      </c>
      <c r="H14" s="21" t="n">
        <v>40</v>
      </c>
    </row>
    <row r="15" ht="23" customHeight="1">
      <c r="A15" s="18" t="inlineStr">
        <is>
          <t>M002</t>
        </is>
      </c>
      <c r="B15" s="18" t="inlineStr">
        <is>
          <t>P004</t>
        </is>
      </c>
      <c r="C15" s="19" t="n">
        <v>1</v>
      </c>
      <c r="D15" s="19" t="n">
        <v>3</v>
      </c>
      <c r="E15" s="20" t="n">
        <v>1.2</v>
      </c>
      <c r="F15" s="19">
        <f>E15*3</f>
        <v/>
      </c>
      <c r="G15" s="19">
        <f>E15*8</f>
        <v/>
      </c>
      <c r="H15" s="21" t="n">
        <v>40</v>
      </c>
    </row>
    <row r="16" ht="23" customHeight="1">
      <c r="A16" s="18" t="inlineStr">
        <is>
          <t>M002</t>
        </is>
      </c>
      <c r="B16" s="18" t="inlineStr">
        <is>
          <t>P005</t>
        </is>
      </c>
      <c r="C16" s="19" t="n">
        <v>1</v>
      </c>
      <c r="D16" s="19" t="n">
        <v>3</v>
      </c>
      <c r="E16" s="20" t="n">
        <v>1.5</v>
      </c>
      <c r="F16" s="19">
        <f>E16*3</f>
        <v/>
      </c>
      <c r="G16" s="19">
        <f>E16*8</f>
        <v/>
      </c>
      <c r="H16" s="21" t="n">
        <v>40</v>
      </c>
    </row>
    <row r="17" ht="23" customHeight="1">
      <c r="A17" s="18" t="inlineStr">
        <is>
          <t>M002</t>
        </is>
      </c>
      <c r="B17" s="18" t="inlineStr">
        <is>
          <t>P006</t>
        </is>
      </c>
      <c r="C17" s="19" t="n">
        <v>0</v>
      </c>
      <c r="D17" s="18" t="n"/>
      <c r="E17" s="19" t="n">
        <v>0</v>
      </c>
      <c r="F17" s="19">
        <f>E17*3</f>
        <v/>
      </c>
      <c r="G17" s="19">
        <f>E17*8</f>
        <v/>
      </c>
      <c r="H17" s="21" t="n">
        <v>40</v>
      </c>
    </row>
    <row r="18" ht="23" customHeight="1">
      <c r="A18" s="18" t="inlineStr">
        <is>
          <t>M002</t>
        </is>
      </c>
      <c r="B18" s="18" t="inlineStr">
        <is>
          <t>P007</t>
        </is>
      </c>
      <c r="C18" s="19" t="n">
        <v>0</v>
      </c>
      <c r="D18" s="18" t="n"/>
      <c r="E18" s="19" t="n">
        <v>0</v>
      </c>
      <c r="F18" s="19">
        <f>E18*3</f>
        <v/>
      </c>
      <c r="G18" s="19">
        <f>E18*8</f>
        <v/>
      </c>
      <c r="H18" s="21" t="n">
        <v>40</v>
      </c>
    </row>
    <row r="19" ht="23" customHeight="1">
      <c r="A19" s="18" t="inlineStr">
        <is>
          <t>M002</t>
        </is>
      </c>
      <c r="B19" s="18" t="inlineStr">
        <is>
          <t>P008</t>
        </is>
      </c>
      <c r="C19" s="19" t="n">
        <v>1</v>
      </c>
      <c r="D19" s="19" t="n">
        <v>2</v>
      </c>
      <c r="E19" s="20" t="n">
        <v>1.8</v>
      </c>
      <c r="F19" s="19">
        <f>E19*3</f>
        <v/>
      </c>
      <c r="G19" s="19">
        <f>E19*8</f>
        <v/>
      </c>
      <c r="H19" s="21" t="n">
        <v>40</v>
      </c>
    </row>
    <row r="20" ht="23" customHeight="1">
      <c r="A20" s="18" t="inlineStr">
        <is>
          <t>M002</t>
        </is>
      </c>
      <c r="B20" s="18" t="inlineStr">
        <is>
          <t>P009</t>
        </is>
      </c>
      <c r="C20" s="19" t="n">
        <v>1</v>
      </c>
      <c r="D20" s="19" t="n">
        <v>2</v>
      </c>
      <c r="E20" s="20" t="n">
        <v>1.6</v>
      </c>
      <c r="F20" s="19">
        <f>E20*3</f>
        <v/>
      </c>
      <c r="G20" s="19">
        <f>E20*8</f>
        <v/>
      </c>
      <c r="H20" s="21" t="n">
        <v>40</v>
      </c>
    </row>
    <row r="21" ht="23" customHeight="1">
      <c r="A21" s="18" t="inlineStr">
        <is>
          <t>M002</t>
        </is>
      </c>
      <c r="B21" s="18" t="inlineStr">
        <is>
          <t>P010</t>
        </is>
      </c>
      <c r="C21" s="19" t="n">
        <v>1</v>
      </c>
      <c r="D21" s="19" t="n">
        <v>3</v>
      </c>
      <c r="E21" s="20" t="n">
        <v>1.5</v>
      </c>
      <c r="F21" s="19">
        <f>E21*3</f>
        <v/>
      </c>
      <c r="G21" s="19">
        <f>E21*8</f>
        <v/>
      </c>
      <c r="H21" s="21" t="n">
        <v>40</v>
      </c>
    </row>
    <row r="22" ht="23" customHeight="1">
      <c r="A22" s="18" t="inlineStr">
        <is>
          <t>M003</t>
        </is>
      </c>
      <c r="B22" s="18" t="inlineStr">
        <is>
          <t>P001</t>
        </is>
      </c>
      <c r="C22" s="19" t="n">
        <v>0</v>
      </c>
      <c r="D22" s="18" t="n"/>
      <c r="E22" s="19" t="n">
        <v>0</v>
      </c>
      <c r="F22" s="19">
        <f>E22*3</f>
        <v/>
      </c>
      <c r="G22" s="19">
        <f>E22*8</f>
        <v/>
      </c>
      <c r="H22" s="21" t="n">
        <v>40</v>
      </c>
    </row>
    <row r="23" ht="23" customHeight="1">
      <c r="A23" s="18" t="inlineStr">
        <is>
          <t>M003</t>
        </is>
      </c>
      <c r="B23" s="18" t="inlineStr">
        <is>
          <t>P002</t>
        </is>
      </c>
      <c r="C23" s="19" t="n">
        <v>0</v>
      </c>
      <c r="D23" s="18" t="n"/>
      <c r="E23" s="19" t="n">
        <v>0</v>
      </c>
      <c r="F23" s="19">
        <f>E23*3</f>
        <v/>
      </c>
      <c r="G23" s="19">
        <f>E23*8</f>
        <v/>
      </c>
      <c r="H23" s="21" t="n">
        <v>40</v>
      </c>
    </row>
    <row r="24" ht="23" customHeight="1">
      <c r="A24" s="18" t="inlineStr">
        <is>
          <t>M003</t>
        </is>
      </c>
      <c r="B24" s="18" t="inlineStr">
        <is>
          <t>P003</t>
        </is>
      </c>
      <c r="C24" s="19" t="n">
        <v>1</v>
      </c>
      <c r="D24" s="19" t="n">
        <v>1</v>
      </c>
      <c r="E24" s="20" t="n">
        <v>0.35</v>
      </c>
      <c r="F24" s="19">
        <f>E24*3</f>
        <v/>
      </c>
      <c r="G24" s="19">
        <f>E24*8</f>
        <v/>
      </c>
      <c r="H24" s="21" t="n">
        <v>40</v>
      </c>
    </row>
    <row r="25" ht="23" customHeight="1">
      <c r="A25" s="18" t="inlineStr">
        <is>
          <t>M003</t>
        </is>
      </c>
      <c r="B25" s="18" t="inlineStr">
        <is>
          <t>P004</t>
        </is>
      </c>
      <c r="C25" s="19" t="n">
        <v>0</v>
      </c>
      <c r="D25" s="18" t="n"/>
      <c r="E25" s="19" t="n">
        <v>0</v>
      </c>
      <c r="F25" s="19">
        <f>E25*3</f>
        <v/>
      </c>
      <c r="G25" s="19">
        <f>E25*8</f>
        <v/>
      </c>
      <c r="H25" s="21" t="n">
        <v>40</v>
      </c>
    </row>
    <row r="26" ht="23" customHeight="1">
      <c r="A26" s="18" t="inlineStr">
        <is>
          <t>M003</t>
        </is>
      </c>
      <c r="B26" s="18" t="inlineStr">
        <is>
          <t>P005</t>
        </is>
      </c>
      <c r="C26" s="19" t="n">
        <v>0</v>
      </c>
      <c r="D26" s="18" t="n"/>
      <c r="E26" s="19" t="n">
        <v>0</v>
      </c>
      <c r="F26" s="19">
        <f>E26*3</f>
        <v/>
      </c>
      <c r="G26" s="19">
        <f>E26*8</f>
        <v/>
      </c>
      <c r="H26" s="21" t="n">
        <v>40</v>
      </c>
    </row>
    <row r="27" ht="23" customHeight="1">
      <c r="A27" s="18" t="inlineStr">
        <is>
          <t>M003</t>
        </is>
      </c>
      <c r="B27" s="18" t="inlineStr">
        <is>
          <t>P006</t>
        </is>
      </c>
      <c r="C27" s="19" t="n">
        <v>0</v>
      </c>
      <c r="D27" s="18" t="n"/>
      <c r="E27" s="19" t="n">
        <v>0</v>
      </c>
      <c r="F27" s="19">
        <f>E27*3</f>
        <v/>
      </c>
      <c r="G27" s="19">
        <f>E27*8</f>
        <v/>
      </c>
      <c r="H27" s="21" t="n">
        <v>40</v>
      </c>
    </row>
    <row r="28" ht="23" customHeight="1">
      <c r="A28" s="18" t="inlineStr">
        <is>
          <t>M003</t>
        </is>
      </c>
      <c r="B28" s="18" t="inlineStr">
        <is>
          <t>P007</t>
        </is>
      </c>
      <c r="C28" s="19" t="n">
        <v>0</v>
      </c>
      <c r="D28" s="18" t="n"/>
      <c r="E28" s="19" t="n">
        <v>0</v>
      </c>
      <c r="F28" s="19">
        <f>E28*3</f>
        <v/>
      </c>
      <c r="G28" s="19">
        <f>E28*8</f>
        <v/>
      </c>
      <c r="H28" s="21" t="n">
        <v>40</v>
      </c>
    </row>
    <row r="29" ht="23" customHeight="1">
      <c r="A29" s="18" t="inlineStr">
        <is>
          <t>M003</t>
        </is>
      </c>
      <c r="B29" s="18" t="inlineStr">
        <is>
          <t>P008</t>
        </is>
      </c>
      <c r="C29" s="19" t="n">
        <v>0</v>
      </c>
      <c r="D29" s="18" t="n"/>
      <c r="E29" s="19" t="n">
        <v>0</v>
      </c>
      <c r="F29" s="19">
        <f>E29*3</f>
        <v/>
      </c>
      <c r="G29" s="19">
        <f>E29*8</f>
        <v/>
      </c>
      <c r="H29" s="21" t="n">
        <v>40</v>
      </c>
    </row>
    <row r="30" ht="23" customHeight="1">
      <c r="A30" s="18" t="inlineStr">
        <is>
          <t>M003</t>
        </is>
      </c>
      <c r="B30" s="18" t="inlineStr">
        <is>
          <t>P009</t>
        </is>
      </c>
      <c r="C30" s="19" t="n">
        <v>0</v>
      </c>
      <c r="D30" s="18" t="n"/>
      <c r="E30" s="19" t="n">
        <v>0</v>
      </c>
      <c r="F30" s="19">
        <f>E30*3</f>
        <v/>
      </c>
      <c r="G30" s="19">
        <f>E30*8</f>
        <v/>
      </c>
      <c r="H30" s="21" t="n">
        <v>40</v>
      </c>
    </row>
    <row r="31" ht="23" customHeight="1">
      <c r="A31" s="18" t="inlineStr">
        <is>
          <t>M003</t>
        </is>
      </c>
      <c r="B31" s="18" t="inlineStr">
        <is>
          <t>P010</t>
        </is>
      </c>
      <c r="C31" s="19" t="n">
        <v>0</v>
      </c>
      <c r="D31" s="18" t="n"/>
      <c r="E31" s="19" t="n">
        <v>0</v>
      </c>
      <c r="F31" s="19">
        <f>E31*3</f>
        <v/>
      </c>
      <c r="G31" s="19">
        <f>E31*8</f>
        <v/>
      </c>
      <c r="H31" s="21" t="n">
        <v>40</v>
      </c>
    </row>
    <row r="32" ht="23" customHeight="1">
      <c r="A32" s="18" t="inlineStr">
        <is>
          <t>M004</t>
        </is>
      </c>
      <c r="B32" s="18" t="inlineStr">
        <is>
          <t>P001</t>
        </is>
      </c>
      <c r="C32" s="19" t="n">
        <v>0</v>
      </c>
      <c r="D32" s="18" t="n"/>
      <c r="E32" s="19" t="n">
        <v>0</v>
      </c>
      <c r="F32" s="19">
        <f>E32*3</f>
        <v/>
      </c>
      <c r="G32" s="19">
        <f>E32*8</f>
        <v/>
      </c>
      <c r="H32" s="21" t="n">
        <v>40</v>
      </c>
    </row>
    <row r="33" ht="23" customHeight="1">
      <c r="A33" s="18" t="inlineStr">
        <is>
          <t>M004</t>
        </is>
      </c>
      <c r="B33" s="18" t="inlineStr">
        <is>
          <t>P002</t>
        </is>
      </c>
      <c r="C33" s="19" t="n">
        <v>0</v>
      </c>
      <c r="D33" s="18" t="n"/>
      <c r="E33" s="19" t="n">
        <v>0</v>
      </c>
      <c r="F33" s="19">
        <f>E33*3</f>
        <v/>
      </c>
      <c r="G33" s="19">
        <f>E33*8</f>
        <v/>
      </c>
      <c r="H33" s="21" t="n">
        <v>40</v>
      </c>
    </row>
    <row r="34" ht="23" customHeight="1">
      <c r="A34" s="18" t="inlineStr">
        <is>
          <t>M004</t>
        </is>
      </c>
      <c r="B34" s="18" t="inlineStr">
        <is>
          <t>P003</t>
        </is>
      </c>
      <c r="C34" s="19" t="n">
        <v>1</v>
      </c>
      <c r="D34" s="19" t="n">
        <v>2</v>
      </c>
      <c r="E34" s="20" t="n">
        <v>0.35</v>
      </c>
      <c r="F34" s="19">
        <f>E34*3</f>
        <v/>
      </c>
      <c r="G34" s="19">
        <f>E34*8</f>
        <v/>
      </c>
      <c r="H34" s="21" t="n">
        <v>40</v>
      </c>
    </row>
    <row r="35" ht="23" customHeight="1">
      <c r="A35" s="18" t="inlineStr">
        <is>
          <t>M004</t>
        </is>
      </c>
      <c r="B35" s="18" t="inlineStr">
        <is>
          <t>P004</t>
        </is>
      </c>
      <c r="C35" s="19" t="n">
        <v>0</v>
      </c>
      <c r="D35" s="18" t="n"/>
      <c r="E35" s="19" t="n">
        <v>0</v>
      </c>
      <c r="F35" s="19">
        <f>E35*3</f>
        <v/>
      </c>
      <c r="G35" s="19">
        <f>E35*8</f>
        <v/>
      </c>
      <c r="H35" s="21" t="n">
        <v>40</v>
      </c>
    </row>
    <row r="36" ht="23" customHeight="1">
      <c r="A36" s="18" t="inlineStr">
        <is>
          <t>M004</t>
        </is>
      </c>
      <c r="B36" s="18" t="inlineStr">
        <is>
          <t>P005</t>
        </is>
      </c>
      <c r="C36" s="19" t="n">
        <v>0</v>
      </c>
      <c r="D36" s="18" t="n"/>
      <c r="E36" s="19" t="n">
        <v>0</v>
      </c>
      <c r="F36" s="19">
        <f>E36*3</f>
        <v/>
      </c>
      <c r="G36" s="19">
        <f>E36*8</f>
        <v/>
      </c>
      <c r="H36" s="21" t="n">
        <v>40</v>
      </c>
    </row>
    <row r="37" ht="23" customHeight="1">
      <c r="A37" s="18" t="inlineStr">
        <is>
          <t>M004</t>
        </is>
      </c>
      <c r="B37" s="18" t="inlineStr">
        <is>
          <t>P006</t>
        </is>
      </c>
      <c r="C37" s="19" t="n">
        <v>0</v>
      </c>
      <c r="D37" s="18" t="n"/>
      <c r="E37" s="19" t="n">
        <v>0</v>
      </c>
      <c r="F37" s="19">
        <f>E37*3</f>
        <v/>
      </c>
      <c r="G37" s="19">
        <f>E37*8</f>
        <v/>
      </c>
      <c r="H37" s="21" t="n">
        <v>40</v>
      </c>
    </row>
    <row r="38" ht="23" customHeight="1">
      <c r="A38" s="18" t="inlineStr">
        <is>
          <t>M004</t>
        </is>
      </c>
      <c r="B38" s="18" t="inlineStr">
        <is>
          <t>P007</t>
        </is>
      </c>
      <c r="C38" s="19" t="n">
        <v>0</v>
      </c>
      <c r="D38" s="18" t="n"/>
      <c r="E38" s="19" t="n">
        <v>0</v>
      </c>
      <c r="F38" s="19">
        <f>E38*3</f>
        <v/>
      </c>
      <c r="G38" s="19">
        <f>E38*8</f>
        <v/>
      </c>
      <c r="H38" s="21" t="n">
        <v>40</v>
      </c>
    </row>
    <row r="39" ht="23" customHeight="1">
      <c r="A39" s="18" t="inlineStr">
        <is>
          <t>M004</t>
        </is>
      </c>
      <c r="B39" s="18" t="inlineStr">
        <is>
          <t>P008</t>
        </is>
      </c>
      <c r="C39" s="19" t="n">
        <v>0</v>
      </c>
      <c r="D39" s="18" t="n"/>
      <c r="E39" s="19" t="n">
        <v>0</v>
      </c>
      <c r="F39" s="19">
        <f>E39*3</f>
        <v/>
      </c>
      <c r="G39" s="19">
        <f>E39*8</f>
        <v/>
      </c>
      <c r="H39" s="21" t="n">
        <v>40</v>
      </c>
    </row>
    <row r="40" ht="23" customHeight="1">
      <c r="A40" s="18" t="inlineStr">
        <is>
          <t>M004</t>
        </is>
      </c>
      <c r="B40" s="18" t="inlineStr">
        <is>
          <t>P009</t>
        </is>
      </c>
      <c r="C40" s="19" t="n">
        <v>0</v>
      </c>
      <c r="D40" s="18" t="n"/>
      <c r="E40" s="19" t="n">
        <v>0</v>
      </c>
      <c r="F40" s="19">
        <f>E40*3</f>
        <v/>
      </c>
      <c r="G40" s="19">
        <f>E40*8</f>
        <v/>
      </c>
      <c r="H40" s="21" t="n">
        <v>40</v>
      </c>
    </row>
    <row r="41" ht="23" customHeight="1">
      <c r="A41" s="18" t="inlineStr">
        <is>
          <t>M004</t>
        </is>
      </c>
      <c r="B41" s="18" t="inlineStr">
        <is>
          <t>P010</t>
        </is>
      </c>
      <c r="C41" s="19" t="n">
        <v>0</v>
      </c>
      <c r="D41" s="18" t="n"/>
      <c r="E41" s="19" t="n">
        <v>0</v>
      </c>
      <c r="F41" s="19">
        <f>E41*3</f>
        <v/>
      </c>
      <c r="G41" s="19">
        <f>E41*8</f>
        <v/>
      </c>
      <c r="H41" s="21" t="n">
        <v>40</v>
      </c>
    </row>
    <row r="42" ht="23" customHeight="1">
      <c r="A42" s="18" t="inlineStr">
        <is>
          <t>M005</t>
        </is>
      </c>
      <c r="B42" s="18" t="inlineStr">
        <is>
          <t>P001</t>
        </is>
      </c>
      <c r="C42" s="19" t="n">
        <v>0</v>
      </c>
      <c r="D42" s="18" t="n"/>
      <c r="E42" s="19" t="n">
        <v>0</v>
      </c>
      <c r="F42" s="19">
        <f>E42*3</f>
        <v/>
      </c>
      <c r="G42" s="19">
        <f>E42*8</f>
        <v/>
      </c>
      <c r="H42" s="21" t="n">
        <v>40</v>
      </c>
    </row>
    <row r="43" ht="23" customHeight="1">
      <c r="A43" s="18" t="inlineStr">
        <is>
          <t>M005</t>
        </is>
      </c>
      <c r="B43" s="18" t="inlineStr">
        <is>
          <t>P002</t>
        </is>
      </c>
      <c r="C43" s="19" t="n">
        <v>0</v>
      </c>
      <c r="D43" s="18" t="n"/>
      <c r="E43" s="19" t="n">
        <v>0</v>
      </c>
      <c r="F43" s="19">
        <f>E43*3</f>
        <v/>
      </c>
      <c r="G43" s="19">
        <f>E43*8</f>
        <v/>
      </c>
      <c r="H43" s="21" t="n">
        <v>40</v>
      </c>
    </row>
    <row r="44" ht="23" customHeight="1">
      <c r="A44" s="18" t="inlineStr">
        <is>
          <t>M005</t>
        </is>
      </c>
      <c r="B44" s="18" t="inlineStr">
        <is>
          <t>P003</t>
        </is>
      </c>
      <c r="C44" s="19" t="n">
        <v>0</v>
      </c>
      <c r="D44" s="18" t="n"/>
      <c r="E44" s="19" t="n">
        <v>0</v>
      </c>
      <c r="F44" s="19">
        <f>E44*3</f>
        <v/>
      </c>
      <c r="G44" s="19">
        <f>E44*8</f>
        <v/>
      </c>
      <c r="H44" s="21" t="n">
        <v>40</v>
      </c>
    </row>
    <row r="45" ht="23" customHeight="1">
      <c r="A45" s="18" t="inlineStr">
        <is>
          <t>M005</t>
        </is>
      </c>
      <c r="B45" s="18" t="inlineStr">
        <is>
          <t>P004</t>
        </is>
      </c>
      <c r="C45" s="19" t="n">
        <v>1</v>
      </c>
      <c r="D45" s="19" t="n">
        <v>2</v>
      </c>
      <c r="E45" s="20" t="n">
        <v>0.9</v>
      </c>
      <c r="F45" s="19">
        <f>E45*3</f>
        <v/>
      </c>
      <c r="G45" s="19">
        <f>E45*8</f>
        <v/>
      </c>
      <c r="H45" s="21" t="n">
        <v>40</v>
      </c>
    </row>
    <row r="46" ht="23" customHeight="1">
      <c r="A46" s="18" t="inlineStr">
        <is>
          <t>M005</t>
        </is>
      </c>
      <c r="B46" s="18" t="inlineStr">
        <is>
          <t>P005</t>
        </is>
      </c>
      <c r="C46" s="19" t="n">
        <v>1</v>
      </c>
      <c r="D46" s="19" t="n">
        <v>2</v>
      </c>
      <c r="E46" s="20" t="n">
        <v>1.1</v>
      </c>
      <c r="F46" s="19">
        <f>E46*3</f>
        <v/>
      </c>
      <c r="G46" s="19">
        <f>E46*8</f>
        <v/>
      </c>
      <c r="H46" s="21" t="n">
        <v>40</v>
      </c>
    </row>
    <row r="47" ht="23" customHeight="1">
      <c r="A47" s="18" t="inlineStr">
        <is>
          <t>M005</t>
        </is>
      </c>
      <c r="B47" s="18" t="inlineStr">
        <is>
          <t>P006</t>
        </is>
      </c>
      <c r="C47" s="19" t="n">
        <v>1</v>
      </c>
      <c r="D47" s="19" t="n">
        <v>1</v>
      </c>
      <c r="E47" s="20" t="n">
        <v>1.6</v>
      </c>
      <c r="F47" s="19">
        <f>E47*3</f>
        <v/>
      </c>
      <c r="G47" s="19">
        <f>E47*8</f>
        <v/>
      </c>
      <c r="H47" s="21" t="n">
        <v>40</v>
      </c>
    </row>
    <row r="48" ht="23" customHeight="1">
      <c r="A48" s="18" t="inlineStr">
        <is>
          <t>M005</t>
        </is>
      </c>
      <c r="B48" s="18" t="inlineStr">
        <is>
          <t>P007</t>
        </is>
      </c>
      <c r="C48" s="19" t="n">
        <v>1</v>
      </c>
      <c r="D48" s="19" t="n">
        <v>1</v>
      </c>
      <c r="E48" s="20" t="n">
        <v>1.1</v>
      </c>
      <c r="F48" s="19">
        <f>E48*3</f>
        <v/>
      </c>
      <c r="G48" s="19">
        <f>E48*8</f>
        <v/>
      </c>
      <c r="H48" s="21" t="n">
        <v>40</v>
      </c>
    </row>
    <row r="49" ht="23" customHeight="1">
      <c r="A49" s="18" t="inlineStr">
        <is>
          <t>M005</t>
        </is>
      </c>
      <c r="B49" s="18" t="inlineStr">
        <is>
          <t>P008</t>
        </is>
      </c>
      <c r="C49" s="19" t="n">
        <v>0</v>
      </c>
      <c r="D49" s="18" t="n"/>
      <c r="E49" s="19" t="n">
        <v>0</v>
      </c>
      <c r="F49" s="19">
        <f>E49*3</f>
        <v/>
      </c>
      <c r="G49" s="19">
        <f>E49*8</f>
        <v/>
      </c>
      <c r="H49" s="21" t="n">
        <v>40</v>
      </c>
    </row>
    <row r="50" ht="23" customHeight="1">
      <c r="A50" s="18" t="inlineStr">
        <is>
          <t>M005</t>
        </is>
      </c>
      <c r="B50" s="18" t="inlineStr">
        <is>
          <t>P009</t>
        </is>
      </c>
      <c r="C50" s="19" t="n">
        <v>0</v>
      </c>
      <c r="D50" s="18" t="n"/>
      <c r="E50" s="19" t="n">
        <v>0</v>
      </c>
      <c r="F50" s="19">
        <f>E50*3</f>
        <v/>
      </c>
      <c r="G50" s="19">
        <f>E50*8</f>
        <v/>
      </c>
      <c r="H50" s="21" t="n">
        <v>40</v>
      </c>
    </row>
    <row r="51" ht="23" customHeight="1">
      <c r="A51" s="18" t="inlineStr">
        <is>
          <t>M005</t>
        </is>
      </c>
      <c r="B51" s="18" t="inlineStr">
        <is>
          <t>P010</t>
        </is>
      </c>
      <c r="C51" s="19" t="n">
        <v>1</v>
      </c>
      <c r="D51" s="19" t="n">
        <v>1</v>
      </c>
      <c r="E51" s="19" t="n">
        <v>1</v>
      </c>
      <c r="F51" s="19">
        <f>E51*3</f>
        <v/>
      </c>
      <c r="G51" s="19">
        <f>E51*8</f>
        <v/>
      </c>
      <c r="H51" s="21" t="n">
        <v>40</v>
      </c>
    </row>
  </sheetData>
  <dataValidations count="7">
    <dataValidation sqref="A2:A1001" showDropDown="0" showInputMessage="0" showErrorMessage="1" allowBlank="0" errorTitle="Invalid input" error="Choose a value from the list." type="list">
      <formula1>Machine_IDs</formula1>
    </dataValidation>
    <dataValidation sqref="B2:B1001" showDropDown="0" showInputMessage="0" showErrorMessage="1" allowBlank="0" errorTitle="Invalid input" error="Choose a value from the list." type="list">
      <formula1>Product_IDs</formula1>
    </dataValidation>
    <dataValidation sqref="C2:C1001" showDropDown="0" showInputMessage="0" showErrorMessage="1" allowBlank="0" errorTitle="Invalid input" error="Choose a value from the list." type="list">
      <formula1>"0,1"</formula1>
    </dataValidation>
    <dataValidation sqref="D2:D1001" showDropDown="0" showInputMessage="0" showErrorMessage="1" allowBlank="1" errorTitle="Invalid numeric input" error="Enter a valid nonnegative number or a value within the allowed limits." type="whole" operator="greaterThanOrEqual">
      <formula1>1</formula1>
    </dataValidation>
    <dataValidation sqref="E2:E1001" showDropDown="0" showInputMessage="0" showErrorMessage="1" allowBlank="0" errorTitle="Input consistency" error="Allowed=1 requires positive capacity." type="custom">
      <formula1>AND(ISNUMBER(E2),IF(C2=1,E2&gt;0,E2&gt;=0))</formula1>
    </dataValidation>
    <dataValidation sqref="F2:G1001" showDropDown="0" showInputMessage="0" showErrorMessage="1" allowBlank="0" errorTitle="Invalid numeric input" error="Enter a valid nonnegative number or a value within the allowed limits." type="decimal" operator="greaterThanOrEqual">
      <formula1>0</formula1>
    </dataValidation>
    <dataValidation sqref="H2:H1001" showDropDown="0" showInputMessage="0" showErrorMessage="1" allowBlank="1" errorTitle="Invalid numeric input" error="Enter a valid nonnegative number or a value within the allowed limits." type="decimal" operator="greaterThanOrEqual">
      <formula1>0</formula1>
    </dataValidation>
  </dataValidations>
  <printOptions horizontalCentered="0"/>
  <pageMargins left="0.75" right="0.75" top="1" bottom="1" header="0.5" footer="0.5"/>
  <pageSetup orientation="landscape" paperSize="9" fitToHeight="0" fitToWidth="1"/>
  <headerFooter>
    <oddHeader/>
    <oddFooter>&amp;CProduction planning input | v6&amp;RPage &amp;P / &amp;N</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G11"/>
  <sheetViews>
    <sheetView showGridLines="0" topLeftCell="A1" zoomScale="90" zoomScaleNormal="100" workbookViewId="0">
      <selection pane="bottomLeft" activeCell="A1" sqref="A1"/>
    </sheetView>
  </sheetViews>
  <sheetFormatPr baseColWidth="8" defaultRowHeight="14.5"/>
  <cols>
    <col width="14" bestFit="1" customWidth="1" min="1" max="1"/>
    <col width="31" bestFit="1" customWidth="1" min="2" max="2"/>
    <col width="14" bestFit="1" customWidth="1" min="3" max="3"/>
    <col width="18" bestFit="1" customWidth="1" min="4" max="4"/>
    <col width="16" bestFit="1" customWidth="1" min="5" max="5"/>
    <col width="18" customWidth="1" min="6" max="6"/>
    <col width="17" customWidth="1" min="7" max="7"/>
  </cols>
  <sheetData>
    <row r="1" ht="29" customHeight="1">
      <c r="A1" s="17" t="inlineStr">
        <is>
          <t>Product_ID</t>
        </is>
      </c>
      <c r="B1" s="17" t="inlineStr">
        <is>
          <t>Product</t>
        </is>
      </c>
      <c r="C1" s="17" t="inlineStr">
        <is>
          <t>Target_t</t>
        </is>
      </c>
      <c r="D1" s="17" t="inlineStr">
        <is>
          <t>TargetPriority</t>
        </is>
      </c>
      <c r="E1" s="17" t="inlineStr">
        <is>
          <t>TargetMode</t>
        </is>
      </c>
      <c r="F1" s="29" t="inlineStr">
        <is>
          <t>MinRequired_pct</t>
        </is>
      </c>
      <c r="G1" s="29" t="inlineStr">
        <is>
          <t>MinRequired_t</t>
        </is>
      </c>
    </row>
    <row r="2" ht="23" customHeight="1">
      <c r="A2" s="18" t="inlineStr">
        <is>
          <t>P001</t>
        </is>
      </c>
      <c r="B2" s="18" t="inlineStr">
        <is>
          <t>Ayçekirdeği tuzsuz</t>
        </is>
      </c>
      <c r="C2" s="22" t="n">
        <v>40</v>
      </c>
      <c r="D2" s="19" t="n">
        <v>1</v>
      </c>
      <c r="E2" s="18" t="inlineStr">
        <is>
          <t>SOFT</t>
        </is>
      </c>
      <c r="F2" s="30" t="n">
        <v>0.8</v>
      </c>
      <c r="G2" s="31">
        <f>C2*F2</f>
        <v/>
      </c>
    </row>
    <row r="3" ht="23" customHeight="1">
      <c r="A3" s="18" t="inlineStr">
        <is>
          <t>P002</t>
        </is>
      </c>
      <c r="B3" s="18" t="inlineStr">
        <is>
          <t>Ayçekirdeği tuzlu</t>
        </is>
      </c>
      <c r="C3" s="22" t="n">
        <v>40</v>
      </c>
      <c r="D3" s="19" t="n">
        <v>1</v>
      </c>
      <c r="E3" s="18" t="inlineStr">
        <is>
          <t>SOFT</t>
        </is>
      </c>
      <c r="F3" s="30" t="n">
        <v>0.8</v>
      </c>
      <c r="G3" s="31">
        <f>C3*F3</f>
        <v/>
      </c>
    </row>
    <row r="4" ht="23" customHeight="1">
      <c r="A4" s="18" t="inlineStr">
        <is>
          <t>P003</t>
        </is>
      </c>
      <c r="B4" s="18" t="inlineStr">
        <is>
          <t>Kabak Nevşehir (salamura)</t>
        </is>
      </c>
      <c r="C4" s="22" t="n">
        <v>15</v>
      </c>
      <c r="D4" s="19" t="n">
        <v>1</v>
      </c>
      <c r="E4" s="18" t="inlineStr">
        <is>
          <t>SOFT</t>
        </is>
      </c>
      <c r="F4" s="30" t="n">
        <v>0.8</v>
      </c>
      <c r="G4" s="31">
        <f>C4*F4</f>
        <v/>
      </c>
    </row>
    <row r="5" ht="23" customHeight="1">
      <c r="A5" s="18" t="inlineStr">
        <is>
          <t>P004</t>
        </is>
      </c>
      <c r="B5" s="18" t="inlineStr">
        <is>
          <t>Kabak Kav. Tuzsuz</t>
        </is>
      </c>
      <c r="C5" s="22" t="n">
        <v>10</v>
      </c>
      <c r="D5" s="19" t="n">
        <v>1</v>
      </c>
      <c r="E5" s="18" t="inlineStr">
        <is>
          <t>SOFT</t>
        </is>
      </c>
      <c r="F5" s="30" t="n">
        <v>0.8</v>
      </c>
      <c r="G5" s="31">
        <f>C5*F5</f>
        <v/>
      </c>
    </row>
    <row r="6" ht="23" customHeight="1">
      <c r="A6" s="18" t="inlineStr">
        <is>
          <t>P005</t>
        </is>
      </c>
      <c r="B6" s="18" t="inlineStr">
        <is>
          <t>Kabak Çifte Kav.</t>
        </is>
      </c>
      <c r="C6" s="22" t="n">
        <v>15</v>
      </c>
      <c r="D6" s="19" t="n">
        <v>1</v>
      </c>
      <c r="E6" s="18" t="inlineStr">
        <is>
          <t>SOFT</t>
        </is>
      </c>
      <c r="F6" s="30" t="n">
        <v>0.8</v>
      </c>
      <c r="G6" s="31">
        <f>C6*F6</f>
        <v/>
      </c>
    </row>
    <row r="7" ht="23" customHeight="1">
      <c r="A7" s="18" t="inlineStr">
        <is>
          <t>P006</t>
        </is>
      </c>
      <c r="B7" s="18" t="inlineStr">
        <is>
          <t>Badem kavurma</t>
        </is>
      </c>
      <c r="C7" s="22" t="n">
        <v>20</v>
      </c>
      <c r="D7" s="19" t="n">
        <v>1</v>
      </c>
      <c r="E7" s="18" t="inlineStr">
        <is>
          <t>SOFT</t>
        </is>
      </c>
      <c r="F7" s="30" t="n">
        <v>0.8</v>
      </c>
      <c r="G7" s="31">
        <f>C7*F7</f>
        <v/>
      </c>
    </row>
    <row r="8" ht="23" customHeight="1">
      <c r="A8" s="18" t="inlineStr">
        <is>
          <t>P007</t>
        </is>
      </c>
      <c r="B8" s="18" t="inlineStr">
        <is>
          <t>Kaju kavurma</t>
        </is>
      </c>
      <c r="C8" s="22" t="n">
        <v>15</v>
      </c>
      <c r="D8" s="19" t="n">
        <v>1</v>
      </c>
      <c r="E8" s="18" t="inlineStr">
        <is>
          <t>SOFT</t>
        </is>
      </c>
      <c r="F8" s="30" t="n">
        <v>0.8</v>
      </c>
      <c r="G8" s="31">
        <f>C8*F8</f>
        <v/>
      </c>
    </row>
    <row r="9" ht="23" customHeight="1">
      <c r="A9" s="18" t="inlineStr">
        <is>
          <t>P008</t>
        </is>
      </c>
      <c r="B9" s="18" t="inlineStr">
        <is>
          <t>Fıstık Tuzlu Lüks</t>
        </is>
      </c>
      <c r="C9" s="22" t="n">
        <v>25</v>
      </c>
      <c r="D9" s="19" t="n">
        <v>1</v>
      </c>
      <c r="E9" s="18" t="inlineStr">
        <is>
          <t>SOFT</t>
        </is>
      </c>
      <c r="F9" s="30" t="n">
        <v>0.8</v>
      </c>
      <c r="G9" s="31">
        <f>C9*F9</f>
        <v/>
      </c>
    </row>
    <row r="10" ht="23" customHeight="1">
      <c r="A10" s="18" t="inlineStr">
        <is>
          <t>P009</t>
        </is>
      </c>
      <c r="B10" s="18" t="inlineStr">
        <is>
          <t>Fıstık Tuzsuz Lüks</t>
        </is>
      </c>
      <c r="C10" s="22" t="n">
        <v>20</v>
      </c>
      <c r="D10" s="19" t="n">
        <v>1</v>
      </c>
      <c r="E10" s="18" t="inlineStr">
        <is>
          <t>SOFT</t>
        </is>
      </c>
      <c r="F10" s="30" t="n">
        <v>0.8</v>
      </c>
      <c r="G10" s="31">
        <f>C10*F10</f>
        <v/>
      </c>
    </row>
    <row r="11" ht="23" customHeight="1">
      <c r="A11" s="18" t="inlineStr">
        <is>
          <t>P010</t>
        </is>
      </c>
      <c r="B11" s="18" t="inlineStr">
        <is>
          <t>Fıstık Kabuklu</t>
        </is>
      </c>
      <c r="C11" s="23" t="n">
        <v>5</v>
      </c>
      <c r="D11" s="24" t="n">
        <v>1</v>
      </c>
      <c r="E11" s="25" t="inlineStr">
        <is>
          <t>SOFT</t>
        </is>
      </c>
      <c r="F11" s="30" t="n">
        <v>0.8</v>
      </c>
      <c r="G11" s="31">
        <f>C11*F11</f>
        <v/>
      </c>
    </row>
  </sheetData>
  <dataValidations count="5">
    <dataValidation sqref="A2:A1001" showDropDown="0" showInputMessage="0" showErrorMessage="1" allowBlank="0" errorTitle="Invalid input" error="Choose a value from the list." type="list">
      <formula1>Product_IDs</formula1>
    </dataValidation>
    <dataValidation sqref="C2:C1001" showDropDown="0" showInputMessage="0" showErrorMessage="1" allowBlank="0" errorTitle="Invalid numeric input" error="Enter a valid nonnegative number or a value within the allowed limits." type="decimal" operator="greaterThanOrEqual">
      <formula1>0</formula1>
    </dataValidation>
    <dataValidation sqref="D2:D1001" showDropDown="0" showInputMessage="0" showErrorMessage="1" allowBlank="0" errorTitle="Invalid numeric input" error="Enter a valid nonnegative number or a value within the allowed limits." type="whole" operator="greaterThanOrEqual">
      <formula1>1</formula1>
    </dataValidation>
    <dataValidation sqref="E2:E1001" showDropDown="0" showInputMessage="1" showErrorMessage="1" allowBlank="0" errorTitle="Invalid input" error="Choose a value from the list." promptTitle="Input definition" prompt="SOFT reports unmet; HARD requires full target. Tolerance does not relax HARD." type="list">
      <formula1>"SOFT,HARD"</formula1>
    </dataValidation>
    <dataValidation sqref="F2:F11" showDropDown="0" showInputMessage="0" showErrorMessage="1" allowBlank="0" error="0 ile 1 arasında değer girin (örnek: 0,8 = %80)." type="decimal" operator="between">
      <formula1>0</formula1>
      <formula2>1</formula2>
    </dataValidation>
  </dataValidations>
  <printOptions horizontalCentered="0"/>
  <pageMargins left="0.75" right="0.75" top="1" bottom="1" header="0.5" footer="0.5"/>
  <pageSetup orientation="landscape" paperSize="9" fitToHeight="0" fitToWidth="1"/>
  <headerFooter>
    <oddHeader/>
    <oddFooter>&amp;CProduction planning input | v6&amp;RPage &amp;P / &amp;N</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F61"/>
  <sheetViews>
    <sheetView showGridLines="0" topLeftCell="A1" zoomScale="90" zoomScaleNormal="100" workbookViewId="0">
      <selection pane="bottomLeft" activeCell="A1" sqref="A1"/>
    </sheetView>
  </sheetViews>
  <sheetFormatPr baseColWidth="8" defaultRowHeight="14.5"/>
  <cols>
    <col width="14" customWidth="1" min="1" max="1"/>
    <col width="13" customWidth="1" min="2" max="2"/>
    <col width="11" customWidth="1" min="3" max="3"/>
    <col width="13" customWidth="1" min="4" max="4"/>
    <col width="11" customWidth="1" min="5" max="5"/>
    <col width="24" customWidth="1" min="6" max="6"/>
  </cols>
  <sheetData>
    <row r="1" ht="29" customHeight="1">
      <c r="A1" s="17" t="inlineStr">
        <is>
          <t>Machine_ID</t>
        </is>
      </c>
      <c r="B1" s="17" t="inlineStr">
        <is>
          <t>Day</t>
        </is>
      </c>
      <c r="C1" s="17" t="inlineStr">
        <is>
          <t>Shift</t>
        </is>
      </c>
      <c r="D1" s="17" t="inlineStr">
        <is>
          <t>Available</t>
        </is>
      </c>
      <c r="E1" s="17" t="inlineStr">
        <is>
          <t>Hours</t>
        </is>
      </c>
      <c r="F1" s="17" t="inlineStr">
        <is>
          <t>Reason</t>
        </is>
      </c>
    </row>
    <row r="2" ht="23" customHeight="1">
      <c r="A2" s="18" t="inlineStr">
        <is>
          <t>M001</t>
        </is>
      </c>
      <c r="B2" s="18" t="inlineStr">
        <is>
          <t>Day-1</t>
        </is>
      </c>
      <c r="C2" s="19" t="n">
        <v>1</v>
      </c>
      <c r="D2" s="19" t="n">
        <v>1</v>
      </c>
      <c r="E2" s="19" t="n">
        <v>4</v>
      </c>
      <c r="F2" s="18" t="inlineStr">
        <is>
          <t>Normal</t>
        </is>
      </c>
    </row>
    <row r="3" ht="23" customHeight="1">
      <c r="A3" s="18" t="inlineStr">
        <is>
          <t>M001</t>
        </is>
      </c>
      <c r="B3" s="18" t="inlineStr">
        <is>
          <t>Day-1</t>
        </is>
      </c>
      <c r="C3" s="19" t="n">
        <v>2</v>
      </c>
      <c r="D3" s="19" t="n">
        <v>1</v>
      </c>
      <c r="E3" s="19" t="n">
        <v>4</v>
      </c>
      <c r="F3" s="18" t="inlineStr">
        <is>
          <t>Normal</t>
        </is>
      </c>
    </row>
    <row r="4" ht="23" customHeight="1">
      <c r="A4" s="18" t="inlineStr">
        <is>
          <t>M001</t>
        </is>
      </c>
      <c r="B4" s="18" t="inlineStr">
        <is>
          <t>Day-2</t>
        </is>
      </c>
      <c r="C4" s="19" t="n">
        <v>1</v>
      </c>
      <c r="D4" s="19" t="n">
        <v>1</v>
      </c>
      <c r="E4" s="19" t="n">
        <v>4</v>
      </c>
      <c r="F4" s="18" t="inlineStr">
        <is>
          <t>Normal</t>
        </is>
      </c>
    </row>
    <row r="5" ht="23" customHeight="1">
      <c r="A5" s="18" t="inlineStr">
        <is>
          <t>M001</t>
        </is>
      </c>
      <c r="B5" s="18" t="inlineStr">
        <is>
          <t>Day-2</t>
        </is>
      </c>
      <c r="C5" s="19" t="n">
        <v>2</v>
      </c>
      <c r="D5" s="19" t="n">
        <v>1</v>
      </c>
      <c r="E5" s="19" t="n">
        <v>4</v>
      </c>
      <c r="F5" s="18" t="inlineStr">
        <is>
          <t>Normal</t>
        </is>
      </c>
    </row>
    <row r="6" ht="23" customHeight="1">
      <c r="A6" s="18" t="inlineStr">
        <is>
          <t>M001</t>
        </is>
      </c>
      <c r="B6" s="18" t="inlineStr">
        <is>
          <t>Day-3</t>
        </is>
      </c>
      <c r="C6" s="19" t="n">
        <v>1</v>
      </c>
      <c r="D6" s="19" t="n">
        <v>1</v>
      </c>
      <c r="E6" s="19" t="n">
        <v>4</v>
      </c>
      <c r="F6" s="18" t="inlineStr">
        <is>
          <t>Normal</t>
        </is>
      </c>
    </row>
    <row r="7" ht="23" customHeight="1">
      <c r="A7" s="18" t="inlineStr">
        <is>
          <t>M001</t>
        </is>
      </c>
      <c r="B7" s="18" t="inlineStr">
        <is>
          <t>Day-3</t>
        </is>
      </c>
      <c r="C7" s="19" t="n">
        <v>2</v>
      </c>
      <c r="D7" s="19" t="n">
        <v>1</v>
      </c>
      <c r="E7" s="19" t="n">
        <v>4</v>
      </c>
      <c r="F7" s="18" t="inlineStr">
        <is>
          <t>Normal</t>
        </is>
      </c>
    </row>
    <row r="8" ht="23" customHeight="1">
      <c r="A8" s="18" t="inlineStr">
        <is>
          <t>M001</t>
        </is>
      </c>
      <c r="B8" s="18" t="inlineStr">
        <is>
          <t>Day-4</t>
        </is>
      </c>
      <c r="C8" s="19" t="n">
        <v>1</v>
      </c>
      <c r="D8" s="19" t="n">
        <v>1</v>
      </c>
      <c r="E8" s="19" t="n">
        <v>4</v>
      </c>
      <c r="F8" s="18" t="inlineStr">
        <is>
          <t>Normal</t>
        </is>
      </c>
    </row>
    <row r="9" ht="23" customHeight="1">
      <c r="A9" s="18" t="inlineStr">
        <is>
          <t>M001</t>
        </is>
      </c>
      <c r="B9" s="18" t="inlineStr">
        <is>
          <t>Day-4</t>
        </is>
      </c>
      <c r="C9" s="19" t="n">
        <v>2</v>
      </c>
      <c r="D9" s="19" t="n">
        <v>1</v>
      </c>
      <c r="E9" s="19" t="n">
        <v>4</v>
      </c>
      <c r="F9" s="18" t="inlineStr">
        <is>
          <t>Normal</t>
        </is>
      </c>
    </row>
    <row r="10" ht="23" customHeight="1">
      <c r="A10" s="18" t="inlineStr">
        <is>
          <t>M001</t>
        </is>
      </c>
      <c r="B10" s="18" t="inlineStr">
        <is>
          <t>Day-5</t>
        </is>
      </c>
      <c r="C10" s="19" t="n">
        <v>1</v>
      </c>
      <c r="D10" s="19" t="n">
        <v>1</v>
      </c>
      <c r="E10" s="19" t="n">
        <v>4</v>
      </c>
      <c r="F10" s="18" t="inlineStr">
        <is>
          <t>Normal</t>
        </is>
      </c>
    </row>
    <row r="11" ht="23" customHeight="1">
      <c r="A11" s="18" t="inlineStr">
        <is>
          <t>M001</t>
        </is>
      </c>
      <c r="B11" s="18" t="inlineStr">
        <is>
          <t>Day-5</t>
        </is>
      </c>
      <c r="C11" s="19" t="n">
        <v>2</v>
      </c>
      <c r="D11" s="19" t="n">
        <v>0</v>
      </c>
      <c r="E11" s="19" t="n">
        <v>0</v>
      </c>
      <c r="F11" s="18" t="inlineStr">
        <is>
          <t>General cleaning</t>
        </is>
      </c>
    </row>
    <row r="12" ht="23" customHeight="1">
      <c r="A12" s="18" t="inlineStr">
        <is>
          <t>M001</t>
        </is>
      </c>
      <c r="B12" s="18" t="inlineStr">
        <is>
          <t>Day-6</t>
        </is>
      </c>
      <c r="C12" s="19" t="n">
        <v>1</v>
      </c>
      <c r="D12" s="19" t="n">
        <v>1</v>
      </c>
      <c r="E12" s="19" t="n">
        <v>4</v>
      </c>
      <c r="F12" s="18" t="inlineStr">
        <is>
          <t>Normal</t>
        </is>
      </c>
    </row>
    <row r="13" ht="23" customHeight="1">
      <c r="A13" s="18" t="inlineStr">
        <is>
          <t>M001</t>
        </is>
      </c>
      <c r="B13" s="18" t="inlineStr">
        <is>
          <t>Day-6</t>
        </is>
      </c>
      <c r="C13" s="19" t="n">
        <v>2</v>
      </c>
      <c r="D13" s="19" t="n">
        <v>1</v>
      </c>
      <c r="E13" s="19" t="n">
        <v>4</v>
      </c>
      <c r="F13" s="18" t="inlineStr">
        <is>
          <t>Normal</t>
        </is>
      </c>
    </row>
    <row r="14" ht="23" customHeight="1">
      <c r="A14" s="18" t="inlineStr">
        <is>
          <t>M002</t>
        </is>
      </c>
      <c r="B14" s="18" t="inlineStr">
        <is>
          <t>Day-1</t>
        </is>
      </c>
      <c r="C14" s="19" t="n">
        <v>1</v>
      </c>
      <c r="D14" s="19" t="n">
        <v>1</v>
      </c>
      <c r="E14" s="19" t="n">
        <v>4</v>
      </c>
      <c r="F14" s="18" t="inlineStr">
        <is>
          <t>Normal</t>
        </is>
      </c>
    </row>
    <row r="15" ht="23" customHeight="1">
      <c r="A15" s="18" t="inlineStr">
        <is>
          <t>M002</t>
        </is>
      </c>
      <c r="B15" s="18" t="inlineStr">
        <is>
          <t>Day-1</t>
        </is>
      </c>
      <c r="C15" s="19" t="n">
        <v>2</v>
      </c>
      <c r="D15" s="19" t="n">
        <v>1</v>
      </c>
      <c r="E15" s="19" t="n">
        <v>4</v>
      </c>
      <c r="F15" s="18" t="inlineStr">
        <is>
          <t>Normal</t>
        </is>
      </c>
    </row>
    <row r="16" ht="23" customHeight="1">
      <c r="A16" s="18" t="inlineStr">
        <is>
          <t>M002</t>
        </is>
      </c>
      <c r="B16" s="18" t="inlineStr">
        <is>
          <t>Day-2</t>
        </is>
      </c>
      <c r="C16" s="19" t="n">
        <v>1</v>
      </c>
      <c r="D16" s="19" t="n">
        <v>1</v>
      </c>
      <c r="E16" s="19" t="n">
        <v>4</v>
      </c>
      <c r="F16" s="18" t="inlineStr">
        <is>
          <t>Normal</t>
        </is>
      </c>
    </row>
    <row r="17" ht="23" customHeight="1">
      <c r="A17" s="18" t="inlineStr">
        <is>
          <t>M002</t>
        </is>
      </c>
      <c r="B17" s="18" t="inlineStr">
        <is>
          <t>Day-2</t>
        </is>
      </c>
      <c r="C17" s="19" t="n">
        <v>2</v>
      </c>
      <c r="D17" s="19" t="n">
        <v>1</v>
      </c>
      <c r="E17" s="19" t="n">
        <v>4</v>
      </c>
      <c r="F17" s="18" t="inlineStr">
        <is>
          <t>Normal</t>
        </is>
      </c>
    </row>
    <row r="18" ht="23" customHeight="1">
      <c r="A18" s="18" t="inlineStr">
        <is>
          <t>M002</t>
        </is>
      </c>
      <c r="B18" s="18" t="inlineStr">
        <is>
          <t>Day-3</t>
        </is>
      </c>
      <c r="C18" s="19" t="n">
        <v>1</v>
      </c>
      <c r="D18" s="19" t="n">
        <v>1</v>
      </c>
      <c r="E18" s="19" t="n">
        <v>4</v>
      </c>
      <c r="F18" s="18" t="inlineStr">
        <is>
          <t>Normal</t>
        </is>
      </c>
    </row>
    <row r="19" ht="23" customHeight="1">
      <c r="A19" s="18" t="inlineStr">
        <is>
          <t>M002</t>
        </is>
      </c>
      <c r="B19" s="18" t="inlineStr">
        <is>
          <t>Day-3</t>
        </is>
      </c>
      <c r="C19" s="19" t="n">
        <v>2</v>
      </c>
      <c r="D19" s="19" t="n">
        <v>1</v>
      </c>
      <c r="E19" s="19" t="n">
        <v>4</v>
      </c>
      <c r="F19" s="18" t="inlineStr">
        <is>
          <t>Normal</t>
        </is>
      </c>
    </row>
    <row r="20" ht="23" customHeight="1">
      <c r="A20" s="18" t="inlineStr">
        <is>
          <t>M002</t>
        </is>
      </c>
      <c r="B20" s="18" t="inlineStr">
        <is>
          <t>Day-4</t>
        </is>
      </c>
      <c r="C20" s="19" t="n">
        <v>1</v>
      </c>
      <c r="D20" s="19" t="n">
        <v>1</v>
      </c>
      <c r="E20" s="19" t="n">
        <v>4</v>
      </c>
      <c r="F20" s="18" t="inlineStr">
        <is>
          <t>Normal</t>
        </is>
      </c>
    </row>
    <row r="21" ht="23" customHeight="1">
      <c r="A21" s="18" t="inlineStr">
        <is>
          <t>M002</t>
        </is>
      </c>
      <c r="B21" s="18" t="inlineStr">
        <is>
          <t>Day-4</t>
        </is>
      </c>
      <c r="C21" s="19" t="n">
        <v>2</v>
      </c>
      <c r="D21" s="19" t="n">
        <v>1</v>
      </c>
      <c r="E21" s="19" t="n">
        <v>4</v>
      </c>
      <c r="F21" s="18" t="inlineStr">
        <is>
          <t>Normal</t>
        </is>
      </c>
    </row>
    <row r="22" ht="23" customHeight="1">
      <c r="A22" s="18" t="inlineStr">
        <is>
          <t>M002</t>
        </is>
      </c>
      <c r="B22" s="18" t="inlineStr">
        <is>
          <t>Day-5</t>
        </is>
      </c>
      <c r="C22" s="19" t="n">
        <v>1</v>
      </c>
      <c r="D22" s="19" t="n">
        <v>1</v>
      </c>
      <c r="E22" s="19" t="n">
        <v>4</v>
      </c>
      <c r="F22" s="18" t="inlineStr">
        <is>
          <t>Normal</t>
        </is>
      </c>
    </row>
    <row r="23" ht="23" customHeight="1">
      <c r="A23" s="18" t="inlineStr">
        <is>
          <t>M002</t>
        </is>
      </c>
      <c r="B23" s="18" t="inlineStr">
        <is>
          <t>Day-5</t>
        </is>
      </c>
      <c r="C23" s="19" t="n">
        <v>2</v>
      </c>
      <c r="D23" s="19" t="n">
        <v>0</v>
      </c>
      <c r="E23" s="19" t="n">
        <v>0</v>
      </c>
      <c r="F23" s="18" t="inlineStr">
        <is>
          <t>General cleaning</t>
        </is>
      </c>
    </row>
    <row r="24" ht="23" customHeight="1">
      <c r="A24" s="18" t="inlineStr">
        <is>
          <t>M002</t>
        </is>
      </c>
      <c r="B24" s="18" t="inlineStr">
        <is>
          <t>Day-6</t>
        </is>
      </c>
      <c r="C24" s="19" t="n">
        <v>1</v>
      </c>
      <c r="D24" s="19" t="n">
        <v>1</v>
      </c>
      <c r="E24" s="19" t="n">
        <v>4</v>
      </c>
      <c r="F24" s="18" t="inlineStr">
        <is>
          <t>Normal</t>
        </is>
      </c>
    </row>
    <row r="25" ht="23" customHeight="1">
      <c r="A25" s="18" t="inlineStr">
        <is>
          <t>M002</t>
        </is>
      </c>
      <c r="B25" s="18" t="inlineStr">
        <is>
          <t>Day-6</t>
        </is>
      </c>
      <c r="C25" s="19" t="n">
        <v>2</v>
      </c>
      <c r="D25" s="19" t="n">
        <v>1</v>
      </c>
      <c r="E25" s="19" t="n">
        <v>4</v>
      </c>
      <c r="F25" s="18" t="inlineStr">
        <is>
          <t>Normal</t>
        </is>
      </c>
    </row>
    <row r="26" ht="23" customHeight="1">
      <c r="A26" s="18" t="inlineStr">
        <is>
          <t>M003</t>
        </is>
      </c>
      <c r="B26" s="18" t="inlineStr">
        <is>
          <t>Day-1</t>
        </is>
      </c>
      <c r="C26" s="19" t="n">
        <v>1</v>
      </c>
      <c r="D26" s="19" t="n">
        <v>1</v>
      </c>
      <c r="E26" s="19" t="n">
        <v>4</v>
      </c>
      <c r="F26" s="18" t="inlineStr">
        <is>
          <t>Normal</t>
        </is>
      </c>
    </row>
    <row r="27" ht="23" customHeight="1">
      <c r="A27" s="18" t="inlineStr">
        <is>
          <t>M003</t>
        </is>
      </c>
      <c r="B27" s="18" t="inlineStr">
        <is>
          <t>Day-1</t>
        </is>
      </c>
      <c r="C27" s="19" t="n">
        <v>2</v>
      </c>
      <c r="D27" s="19" t="n">
        <v>1</v>
      </c>
      <c r="E27" s="19" t="n">
        <v>4</v>
      </c>
      <c r="F27" s="18" t="inlineStr">
        <is>
          <t>Normal</t>
        </is>
      </c>
    </row>
    <row r="28" ht="23" customHeight="1">
      <c r="A28" s="18" t="inlineStr">
        <is>
          <t>M003</t>
        </is>
      </c>
      <c r="B28" s="18" t="inlineStr">
        <is>
          <t>Day-2</t>
        </is>
      </c>
      <c r="C28" s="19" t="n">
        <v>1</v>
      </c>
      <c r="D28" s="19" t="n">
        <v>1</v>
      </c>
      <c r="E28" s="19" t="n">
        <v>4</v>
      </c>
      <c r="F28" s="18" t="inlineStr">
        <is>
          <t>Normal</t>
        </is>
      </c>
    </row>
    <row r="29" ht="23" customHeight="1">
      <c r="A29" s="18" t="inlineStr">
        <is>
          <t>M003</t>
        </is>
      </c>
      <c r="B29" s="18" t="inlineStr">
        <is>
          <t>Day-2</t>
        </is>
      </c>
      <c r="C29" s="19" t="n">
        <v>2</v>
      </c>
      <c r="D29" s="19" t="n">
        <v>1</v>
      </c>
      <c r="E29" s="19" t="n">
        <v>4</v>
      </c>
      <c r="F29" s="18" t="inlineStr">
        <is>
          <t>Normal</t>
        </is>
      </c>
    </row>
    <row r="30" ht="23" customHeight="1">
      <c r="A30" s="18" t="inlineStr">
        <is>
          <t>M003</t>
        </is>
      </c>
      <c r="B30" s="18" t="inlineStr">
        <is>
          <t>Day-3</t>
        </is>
      </c>
      <c r="C30" s="19" t="n">
        <v>1</v>
      </c>
      <c r="D30" s="19" t="n">
        <v>1</v>
      </c>
      <c r="E30" s="19" t="n">
        <v>4</v>
      </c>
      <c r="F30" s="18" t="inlineStr">
        <is>
          <t>Normal</t>
        </is>
      </c>
    </row>
    <row r="31" ht="23" customHeight="1">
      <c r="A31" s="18" t="inlineStr">
        <is>
          <t>M003</t>
        </is>
      </c>
      <c r="B31" s="18" t="inlineStr">
        <is>
          <t>Day-3</t>
        </is>
      </c>
      <c r="C31" s="19" t="n">
        <v>2</v>
      </c>
      <c r="D31" s="19" t="n">
        <v>1</v>
      </c>
      <c r="E31" s="19" t="n">
        <v>4</v>
      </c>
      <c r="F31" s="18" t="inlineStr">
        <is>
          <t>Normal</t>
        </is>
      </c>
    </row>
    <row r="32" ht="23" customHeight="1">
      <c r="A32" s="18" t="inlineStr">
        <is>
          <t>M003</t>
        </is>
      </c>
      <c r="B32" s="18" t="inlineStr">
        <is>
          <t>Day-4</t>
        </is>
      </c>
      <c r="C32" s="19" t="n">
        <v>1</v>
      </c>
      <c r="D32" s="19" t="n">
        <v>1</v>
      </c>
      <c r="E32" s="19" t="n">
        <v>4</v>
      </c>
      <c r="F32" s="18" t="inlineStr">
        <is>
          <t>Normal</t>
        </is>
      </c>
    </row>
    <row r="33" ht="23" customHeight="1">
      <c r="A33" s="18" t="inlineStr">
        <is>
          <t>M003</t>
        </is>
      </c>
      <c r="B33" s="18" t="inlineStr">
        <is>
          <t>Day-4</t>
        </is>
      </c>
      <c r="C33" s="19" t="n">
        <v>2</v>
      </c>
      <c r="D33" s="19" t="n">
        <v>1</v>
      </c>
      <c r="E33" s="19" t="n">
        <v>4</v>
      </c>
      <c r="F33" s="18" t="inlineStr">
        <is>
          <t>Normal</t>
        </is>
      </c>
    </row>
    <row r="34" ht="23" customHeight="1">
      <c r="A34" s="18" t="inlineStr">
        <is>
          <t>M003</t>
        </is>
      </c>
      <c r="B34" s="18" t="inlineStr">
        <is>
          <t>Day-5</t>
        </is>
      </c>
      <c r="C34" s="19" t="n">
        <v>1</v>
      </c>
      <c r="D34" s="19" t="n">
        <v>1</v>
      </c>
      <c r="E34" s="19" t="n">
        <v>4</v>
      </c>
      <c r="F34" s="18" t="inlineStr">
        <is>
          <t>Normal</t>
        </is>
      </c>
    </row>
    <row r="35" ht="23" customHeight="1">
      <c r="A35" s="18" t="inlineStr">
        <is>
          <t>M003</t>
        </is>
      </c>
      <c r="B35" s="18" t="inlineStr">
        <is>
          <t>Day-5</t>
        </is>
      </c>
      <c r="C35" s="19" t="n">
        <v>2</v>
      </c>
      <c r="D35" s="19" t="n">
        <v>0</v>
      </c>
      <c r="E35" s="19" t="n">
        <v>0</v>
      </c>
      <c r="F35" s="18" t="inlineStr">
        <is>
          <t>General cleaning</t>
        </is>
      </c>
    </row>
    <row r="36" ht="23" customHeight="1">
      <c r="A36" s="18" t="inlineStr">
        <is>
          <t>M003</t>
        </is>
      </c>
      <c r="B36" s="18" t="inlineStr">
        <is>
          <t>Day-6</t>
        </is>
      </c>
      <c r="C36" s="19" t="n">
        <v>1</v>
      </c>
      <c r="D36" s="19" t="n">
        <v>1</v>
      </c>
      <c r="E36" s="19" t="n">
        <v>4</v>
      </c>
      <c r="F36" s="18" t="inlineStr">
        <is>
          <t>Normal</t>
        </is>
      </c>
    </row>
    <row r="37" ht="23" customHeight="1">
      <c r="A37" s="18" t="inlineStr">
        <is>
          <t>M003</t>
        </is>
      </c>
      <c r="B37" s="18" t="inlineStr">
        <is>
          <t>Day-6</t>
        </is>
      </c>
      <c r="C37" s="19" t="n">
        <v>2</v>
      </c>
      <c r="D37" s="19" t="n">
        <v>1</v>
      </c>
      <c r="E37" s="19" t="n">
        <v>4</v>
      </c>
      <c r="F37" s="18" t="inlineStr">
        <is>
          <t>Normal</t>
        </is>
      </c>
    </row>
    <row r="38" ht="23" customHeight="1">
      <c r="A38" s="18" t="inlineStr">
        <is>
          <t>M004</t>
        </is>
      </c>
      <c r="B38" s="18" t="inlineStr">
        <is>
          <t>Day-1</t>
        </is>
      </c>
      <c r="C38" s="19" t="n">
        <v>1</v>
      </c>
      <c r="D38" s="19" t="n">
        <v>1</v>
      </c>
      <c r="E38" s="19" t="n">
        <v>4</v>
      </c>
      <c r="F38" s="18" t="inlineStr">
        <is>
          <t>Normal</t>
        </is>
      </c>
    </row>
    <row r="39" ht="23" customHeight="1">
      <c r="A39" s="18" t="inlineStr">
        <is>
          <t>M004</t>
        </is>
      </c>
      <c r="B39" s="18" t="inlineStr">
        <is>
          <t>Day-1</t>
        </is>
      </c>
      <c r="C39" s="19" t="n">
        <v>2</v>
      </c>
      <c r="D39" s="19" t="n">
        <v>1</v>
      </c>
      <c r="E39" s="19" t="n">
        <v>4</v>
      </c>
      <c r="F39" s="18" t="inlineStr">
        <is>
          <t>Normal</t>
        </is>
      </c>
    </row>
    <row r="40" ht="23" customHeight="1">
      <c r="A40" s="18" t="inlineStr">
        <is>
          <t>M004</t>
        </is>
      </c>
      <c r="B40" s="18" t="inlineStr">
        <is>
          <t>Day-2</t>
        </is>
      </c>
      <c r="C40" s="19" t="n">
        <v>1</v>
      </c>
      <c r="D40" s="19" t="n">
        <v>1</v>
      </c>
      <c r="E40" s="19" t="n">
        <v>4</v>
      </c>
      <c r="F40" s="18" t="inlineStr">
        <is>
          <t>Normal</t>
        </is>
      </c>
    </row>
    <row r="41" ht="23" customHeight="1">
      <c r="A41" s="18" t="inlineStr">
        <is>
          <t>M004</t>
        </is>
      </c>
      <c r="B41" s="18" t="inlineStr">
        <is>
          <t>Day-2</t>
        </is>
      </c>
      <c r="C41" s="19" t="n">
        <v>2</v>
      </c>
      <c r="D41" s="19" t="n">
        <v>1</v>
      </c>
      <c r="E41" s="19" t="n">
        <v>4</v>
      </c>
      <c r="F41" s="18" t="inlineStr">
        <is>
          <t>Normal</t>
        </is>
      </c>
    </row>
    <row r="42" ht="23" customHeight="1">
      <c r="A42" s="18" t="inlineStr">
        <is>
          <t>M004</t>
        </is>
      </c>
      <c r="B42" s="18" t="inlineStr">
        <is>
          <t>Day-3</t>
        </is>
      </c>
      <c r="C42" s="19" t="n">
        <v>1</v>
      </c>
      <c r="D42" s="19" t="n">
        <v>1</v>
      </c>
      <c r="E42" s="19" t="n">
        <v>4</v>
      </c>
      <c r="F42" s="18" t="inlineStr">
        <is>
          <t>Normal</t>
        </is>
      </c>
    </row>
    <row r="43" ht="23" customHeight="1">
      <c r="A43" s="18" t="inlineStr">
        <is>
          <t>M004</t>
        </is>
      </c>
      <c r="B43" s="18" t="inlineStr">
        <is>
          <t>Day-3</t>
        </is>
      </c>
      <c r="C43" s="19" t="n">
        <v>2</v>
      </c>
      <c r="D43" s="19" t="n">
        <v>1</v>
      </c>
      <c r="E43" s="19" t="n">
        <v>4</v>
      </c>
      <c r="F43" s="18" t="inlineStr">
        <is>
          <t>Normal</t>
        </is>
      </c>
    </row>
    <row r="44" ht="23" customHeight="1">
      <c r="A44" s="18" t="inlineStr">
        <is>
          <t>M004</t>
        </is>
      </c>
      <c r="B44" s="18" t="inlineStr">
        <is>
          <t>Day-4</t>
        </is>
      </c>
      <c r="C44" s="19" t="n">
        <v>1</v>
      </c>
      <c r="D44" s="19" t="n">
        <v>1</v>
      </c>
      <c r="E44" s="19" t="n">
        <v>4</v>
      </c>
      <c r="F44" s="18" t="inlineStr">
        <is>
          <t>Normal</t>
        </is>
      </c>
    </row>
    <row r="45" ht="23" customHeight="1">
      <c r="A45" s="18" t="inlineStr">
        <is>
          <t>M004</t>
        </is>
      </c>
      <c r="B45" s="18" t="inlineStr">
        <is>
          <t>Day-4</t>
        </is>
      </c>
      <c r="C45" s="19" t="n">
        <v>2</v>
      </c>
      <c r="D45" s="19" t="n">
        <v>1</v>
      </c>
      <c r="E45" s="19" t="n">
        <v>4</v>
      </c>
      <c r="F45" s="18" t="inlineStr">
        <is>
          <t>Normal</t>
        </is>
      </c>
    </row>
    <row r="46" ht="23" customHeight="1">
      <c r="A46" s="18" t="inlineStr">
        <is>
          <t>M004</t>
        </is>
      </c>
      <c r="B46" s="18" t="inlineStr">
        <is>
          <t>Day-5</t>
        </is>
      </c>
      <c r="C46" s="19" t="n">
        <v>1</v>
      </c>
      <c r="D46" s="19" t="n">
        <v>1</v>
      </c>
      <c r="E46" s="19" t="n">
        <v>4</v>
      </c>
      <c r="F46" s="18" t="inlineStr">
        <is>
          <t>Normal</t>
        </is>
      </c>
    </row>
    <row r="47" ht="23" customHeight="1">
      <c r="A47" s="18" t="inlineStr">
        <is>
          <t>M004</t>
        </is>
      </c>
      <c r="B47" s="18" t="inlineStr">
        <is>
          <t>Day-5</t>
        </is>
      </c>
      <c r="C47" s="19" t="n">
        <v>2</v>
      </c>
      <c r="D47" s="19" t="n">
        <v>0</v>
      </c>
      <c r="E47" s="19" t="n">
        <v>0</v>
      </c>
      <c r="F47" s="18" t="inlineStr">
        <is>
          <t>General cleaning</t>
        </is>
      </c>
    </row>
    <row r="48" ht="23" customHeight="1">
      <c r="A48" s="18" t="inlineStr">
        <is>
          <t>M004</t>
        </is>
      </c>
      <c r="B48" s="18" t="inlineStr">
        <is>
          <t>Day-6</t>
        </is>
      </c>
      <c r="C48" s="19" t="n">
        <v>1</v>
      </c>
      <c r="D48" s="19" t="n">
        <v>1</v>
      </c>
      <c r="E48" s="19" t="n">
        <v>4</v>
      </c>
      <c r="F48" s="18" t="inlineStr">
        <is>
          <t>Normal</t>
        </is>
      </c>
    </row>
    <row r="49" ht="23" customHeight="1">
      <c r="A49" s="18" t="inlineStr">
        <is>
          <t>M004</t>
        </is>
      </c>
      <c r="B49" s="18" t="inlineStr">
        <is>
          <t>Day-6</t>
        </is>
      </c>
      <c r="C49" s="19" t="n">
        <v>2</v>
      </c>
      <c r="D49" s="19" t="n">
        <v>1</v>
      </c>
      <c r="E49" s="19" t="n">
        <v>4</v>
      </c>
      <c r="F49" s="18" t="inlineStr">
        <is>
          <t>Normal</t>
        </is>
      </c>
    </row>
    <row r="50" ht="23" customHeight="1">
      <c r="A50" s="18" t="inlineStr">
        <is>
          <t>M005</t>
        </is>
      </c>
      <c r="B50" s="18" t="inlineStr">
        <is>
          <t>Day-1</t>
        </is>
      </c>
      <c r="C50" s="19" t="n">
        <v>1</v>
      </c>
      <c r="D50" s="19" t="n">
        <v>1</v>
      </c>
      <c r="E50" s="19" t="n">
        <v>4</v>
      </c>
      <c r="F50" s="18" t="inlineStr">
        <is>
          <t>Normal</t>
        </is>
      </c>
    </row>
    <row r="51" ht="23" customHeight="1">
      <c r="A51" s="18" t="inlineStr">
        <is>
          <t>M005</t>
        </is>
      </c>
      <c r="B51" s="18" t="inlineStr">
        <is>
          <t>Day-1</t>
        </is>
      </c>
      <c r="C51" s="19" t="n">
        <v>2</v>
      </c>
      <c r="D51" s="19" t="n">
        <v>1</v>
      </c>
      <c r="E51" s="19" t="n">
        <v>4</v>
      </c>
      <c r="F51" s="18" t="inlineStr">
        <is>
          <t>Normal</t>
        </is>
      </c>
    </row>
    <row r="52" ht="23" customHeight="1">
      <c r="A52" s="18" t="inlineStr">
        <is>
          <t>M005</t>
        </is>
      </c>
      <c r="B52" s="18" t="inlineStr">
        <is>
          <t>Day-2</t>
        </is>
      </c>
      <c r="C52" s="19" t="n">
        <v>1</v>
      </c>
      <c r="D52" s="19" t="n">
        <v>1</v>
      </c>
      <c r="E52" s="19" t="n">
        <v>4</v>
      </c>
      <c r="F52" s="18" t="inlineStr">
        <is>
          <t>Normal</t>
        </is>
      </c>
    </row>
    <row r="53" ht="23" customHeight="1">
      <c r="A53" s="18" t="inlineStr">
        <is>
          <t>M005</t>
        </is>
      </c>
      <c r="B53" s="18" t="inlineStr">
        <is>
          <t>Day-2</t>
        </is>
      </c>
      <c r="C53" s="19" t="n">
        <v>2</v>
      </c>
      <c r="D53" s="19" t="n">
        <v>1</v>
      </c>
      <c r="E53" s="19" t="n">
        <v>4</v>
      </c>
      <c r="F53" s="18" t="inlineStr">
        <is>
          <t>Normal</t>
        </is>
      </c>
    </row>
    <row r="54" ht="23" customHeight="1">
      <c r="A54" s="18" t="inlineStr">
        <is>
          <t>M005</t>
        </is>
      </c>
      <c r="B54" s="18" t="inlineStr">
        <is>
          <t>Day-3</t>
        </is>
      </c>
      <c r="C54" s="19" t="n">
        <v>1</v>
      </c>
      <c r="D54" s="19" t="n">
        <v>1</v>
      </c>
      <c r="E54" s="19" t="n">
        <v>4</v>
      </c>
      <c r="F54" s="18" t="inlineStr">
        <is>
          <t>Normal</t>
        </is>
      </c>
    </row>
    <row r="55" ht="23" customHeight="1">
      <c r="A55" s="18" t="inlineStr">
        <is>
          <t>M005</t>
        </is>
      </c>
      <c r="B55" s="18" t="inlineStr">
        <is>
          <t>Day-3</t>
        </is>
      </c>
      <c r="C55" s="19" t="n">
        <v>2</v>
      </c>
      <c r="D55" s="19" t="n">
        <v>1</v>
      </c>
      <c r="E55" s="19" t="n">
        <v>4</v>
      </c>
      <c r="F55" s="18" t="inlineStr">
        <is>
          <t>Normal</t>
        </is>
      </c>
    </row>
    <row r="56" ht="23" customHeight="1">
      <c r="A56" s="18" t="inlineStr">
        <is>
          <t>M005</t>
        </is>
      </c>
      <c r="B56" s="18" t="inlineStr">
        <is>
          <t>Day-4</t>
        </is>
      </c>
      <c r="C56" s="19" t="n">
        <v>1</v>
      </c>
      <c r="D56" s="19" t="n">
        <v>1</v>
      </c>
      <c r="E56" s="19" t="n">
        <v>4</v>
      </c>
      <c r="F56" s="18" t="inlineStr">
        <is>
          <t>Normal</t>
        </is>
      </c>
    </row>
    <row r="57" ht="23" customHeight="1">
      <c r="A57" s="18" t="inlineStr">
        <is>
          <t>M005</t>
        </is>
      </c>
      <c r="B57" s="18" t="inlineStr">
        <is>
          <t>Day-4</t>
        </is>
      </c>
      <c r="C57" s="19" t="n">
        <v>2</v>
      </c>
      <c r="D57" s="19" t="n">
        <v>1</v>
      </c>
      <c r="E57" s="19" t="n">
        <v>4</v>
      </c>
      <c r="F57" s="18" t="inlineStr">
        <is>
          <t>Normal</t>
        </is>
      </c>
    </row>
    <row r="58" ht="23" customHeight="1">
      <c r="A58" s="18" t="inlineStr">
        <is>
          <t>M005</t>
        </is>
      </c>
      <c r="B58" s="18" t="inlineStr">
        <is>
          <t>Day-5</t>
        </is>
      </c>
      <c r="C58" s="19" t="n">
        <v>1</v>
      </c>
      <c r="D58" s="19" t="n">
        <v>1</v>
      </c>
      <c r="E58" s="19" t="n">
        <v>4</v>
      </c>
      <c r="F58" s="18" t="inlineStr">
        <is>
          <t>Normal</t>
        </is>
      </c>
    </row>
    <row r="59" ht="23" customHeight="1">
      <c r="A59" s="18" t="inlineStr">
        <is>
          <t>M005</t>
        </is>
      </c>
      <c r="B59" s="18" t="inlineStr">
        <is>
          <t>Day-5</t>
        </is>
      </c>
      <c r="C59" s="19" t="n">
        <v>2</v>
      </c>
      <c r="D59" s="19" t="n">
        <v>0</v>
      </c>
      <c r="E59" s="19" t="n">
        <v>0</v>
      </c>
      <c r="F59" s="18" t="inlineStr">
        <is>
          <t>General cleaning</t>
        </is>
      </c>
    </row>
    <row r="60" ht="23" customHeight="1">
      <c r="A60" s="18" t="inlineStr">
        <is>
          <t>M005</t>
        </is>
      </c>
      <c r="B60" s="18" t="inlineStr">
        <is>
          <t>Day-6</t>
        </is>
      </c>
      <c r="C60" s="19" t="n">
        <v>1</v>
      </c>
      <c r="D60" s="19" t="n">
        <v>1</v>
      </c>
      <c r="E60" s="19" t="n">
        <v>4</v>
      </c>
      <c r="F60" s="18" t="inlineStr">
        <is>
          <t>Normal</t>
        </is>
      </c>
    </row>
    <row r="61" ht="23" customHeight="1">
      <c r="A61" s="18" t="inlineStr">
        <is>
          <t>M005</t>
        </is>
      </c>
      <c r="B61" s="18" t="inlineStr">
        <is>
          <t>Day-6</t>
        </is>
      </c>
      <c r="C61" s="19" t="n">
        <v>2</v>
      </c>
      <c r="D61" s="19" t="n">
        <v>1</v>
      </c>
      <c r="E61" s="19" t="n">
        <v>4</v>
      </c>
      <c r="F61" s="18" t="inlineStr">
        <is>
          <t>Normal</t>
        </is>
      </c>
    </row>
  </sheetData>
  <dataValidations count="4">
    <dataValidation sqref="A2:A1001" showDropDown="0" showInputMessage="0" showErrorMessage="1" allowBlank="0" errorTitle="Invalid input" error="Choose a value from the list." type="list">
      <formula1>Machine_IDs</formula1>
    </dataValidation>
    <dataValidation sqref="C2:C1001" showDropDown="0" showInputMessage="0" showErrorMessage="1" allowBlank="0" errorTitle="Invalid numeric input" error="Enter a valid nonnegative number or a value within the allowed limits." type="whole" operator="greaterThanOrEqual">
      <formula1>1</formula1>
    </dataValidation>
    <dataValidation sqref="D2:D1001" showDropDown="0" showInputMessage="0" showErrorMessage="1" allowBlank="0" errorTitle="Invalid input" error="Choose a value from the list." type="list">
      <formula1>"0,1"</formula1>
    </dataValidation>
    <dataValidation sqref="E2:E1001" showDropDown="0" showInputMessage="0" showErrorMessage="1" allowBlank="0" errorTitle="Input consistency" error="Available=1 requires positive Hours; Available=0 requires zero Hours." type="custom">
      <formula1>AND(ISNUMBER(E2),IF(D2=1,E2&gt;0,E2=0))</formula1>
    </dataValidation>
  </dataValidations>
  <printOptions horizontalCentered="0"/>
  <pageMargins left="0.75" right="0.75" top="1" bottom="1" header="0.5" footer="0.5"/>
  <pageSetup orientation="landscape" paperSize="9" fitToHeight="0" fitToWidth="1"/>
  <headerFooter>
    <oddHeader/>
    <oddFooter>&amp;CProduction planning input | v6&amp;RPage &amp;P / &amp;N</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F4"/>
  <sheetViews>
    <sheetView showGridLines="0" tabSelected="1" topLeftCell="A1" zoomScale="90" zoomScaleNormal="100" workbookViewId="0">
      <selection pane="bottomLeft" activeCell="D13" sqref="D13"/>
    </sheetView>
  </sheetViews>
  <sheetFormatPr baseColWidth="8" defaultRowHeight="14.5"/>
  <cols>
    <col width="14" customWidth="1" min="1" max="1"/>
    <col width="21" customWidth="1" min="2" max="2"/>
    <col width="24" customWidth="1" min="3" max="4"/>
    <col width="24" customWidth="1" min="4" max="4"/>
    <col width="20" customWidth="1" min="5" max="5"/>
    <col width="10" customWidth="1" min="6" max="6"/>
  </cols>
  <sheetData>
    <row r="1" ht="29" customHeight="1">
      <c r="A1" s="17" t="inlineStr">
        <is>
          <t>Rule_ID</t>
        </is>
      </c>
      <c r="B1" s="17" t="inlineStr">
        <is>
          <t>Family</t>
        </is>
      </c>
      <c r="C1" s="17" t="inlineStr">
        <is>
          <t>Before_Product_ID</t>
        </is>
      </c>
      <c r="D1" s="17" t="inlineStr">
        <is>
          <t>After_Product_ID</t>
        </is>
      </c>
      <c r="E1" s="17" t="inlineStr">
        <is>
          <t>Scope</t>
        </is>
      </c>
      <c r="F1" s="17" t="inlineStr">
        <is>
          <t>Hard</t>
        </is>
      </c>
    </row>
    <row r="2" ht="23" customHeight="1">
      <c r="A2" s="18" t="inlineStr">
        <is>
          <t>SQ001</t>
        </is>
      </c>
      <c r="B2" s="18" t="inlineStr">
        <is>
          <t>Ayçekirdeği</t>
        </is>
      </c>
      <c r="C2" s="18" t="inlineStr">
        <is>
          <t>P001</t>
        </is>
      </c>
      <c r="D2" s="18" t="inlineStr">
        <is>
          <t>P002</t>
        </is>
      </c>
      <c r="E2" s="18" t="inlineStr">
        <is>
          <t>SAME_MACHINE</t>
        </is>
      </c>
      <c r="F2" s="19" t="n">
        <v>1</v>
      </c>
    </row>
    <row r="3" ht="23" customHeight="1">
      <c r="A3" s="18" t="inlineStr">
        <is>
          <t>SQ002</t>
        </is>
      </c>
      <c r="B3" s="18" t="inlineStr">
        <is>
          <t>Fıstık Lüks</t>
        </is>
      </c>
      <c r="C3" s="18" t="inlineStr">
        <is>
          <t>P009</t>
        </is>
      </c>
      <c r="D3" s="18" t="inlineStr">
        <is>
          <t>P008</t>
        </is>
      </c>
      <c r="E3" s="18" t="inlineStr">
        <is>
          <t>SAME_MACHINE</t>
        </is>
      </c>
      <c r="F3" s="19" t="n">
        <v>1</v>
      </c>
    </row>
    <row r="4" ht="23" customHeight="1">
      <c r="A4" s="18" t="inlineStr">
        <is>
          <t>SQ003</t>
        </is>
      </c>
      <c r="B4" s="18" t="inlineStr">
        <is>
          <t>Kabak</t>
        </is>
      </c>
      <c r="C4" s="18" t="inlineStr">
        <is>
          <t>P004</t>
        </is>
      </c>
      <c r="D4" s="18" t="inlineStr">
        <is>
          <t>P005</t>
        </is>
      </c>
      <c r="E4" s="18" t="inlineStr">
        <is>
          <t>SAME_MACHINE</t>
        </is>
      </c>
      <c r="F4" s="19" t="n">
        <v>1</v>
      </c>
    </row>
  </sheetData>
  <dataValidations count="3">
    <dataValidation sqref="C2:D1000" showDropDown="0" showInputMessage="0" showErrorMessage="1" allowBlank="0" errorTitle="Invalid input" error="Choose a value from the list." type="list">
      <formula1>Product_IDs</formula1>
    </dataValidation>
    <dataValidation sqref="E2:E1000" showDropDown="0" showInputMessage="0" showErrorMessage="1" allowBlank="0" errorTitle="Invalid input" error="Choose a value from the list." type="list">
      <formula1>"SAME_MACHINE"</formula1>
    </dataValidation>
    <dataValidation sqref="F2:F1000" showDropDown="0" showInputMessage="0" showErrorMessage="1" allowBlank="0" errorTitle="Invalid input" error="Choose a value from the list." type="list">
      <formula1>"1"</formula1>
    </dataValidation>
  </dataValidations>
  <printOptions horizontalCentered="0"/>
  <pageMargins left="0.75" right="0.75" top="1" bottom="1" header="0.5" footer="0.5"/>
  <pageSetup orientation="landscape" paperSize="9" fitToHeight="0" fitToWidth="1"/>
  <headerFooter>
    <oddHeader/>
    <oddFooter>&amp;CProduction planning input | v6&amp;RPage &amp;P / &amp;N</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F2"/>
  <sheetViews>
    <sheetView showGridLines="0" topLeftCell="A1" zoomScale="80" zoomScaleNormal="100" workbookViewId="0">
      <selection pane="bottomLeft" activeCell="A1" sqref="A1"/>
    </sheetView>
  </sheetViews>
  <sheetFormatPr baseColWidth="8" defaultRowHeight="14.5"/>
  <cols>
    <col width="13" customWidth="1" min="1" max="1"/>
    <col width="19" customWidth="1" min="2" max="2"/>
    <col width="24" customWidth="1" min="3" max="3"/>
    <col width="29" customWidth="1" min="4" max="4"/>
    <col width="10" customWidth="1" min="5" max="5"/>
    <col width="52" customWidth="1" min="6" max="6"/>
  </cols>
  <sheetData>
    <row r="1" ht="29" customHeight="1">
      <c r="A1" s="17" t="inlineStr">
        <is>
          <t>Rule_ID</t>
        </is>
      </c>
      <c r="B1" s="17" t="inlineStr">
        <is>
          <t>Scope</t>
        </is>
      </c>
      <c r="C1" s="17" t="inlineStr">
        <is>
          <t>Max_Products_Per_Shift</t>
        </is>
      </c>
      <c r="D1" s="17" t="inlineStr">
        <is>
          <t>Max_Changeovers_Per_Day</t>
        </is>
      </c>
      <c r="E1" s="17" t="inlineStr">
        <is>
          <t>Hard</t>
        </is>
      </c>
      <c r="F1" s="17" t="inlineStr">
        <is>
          <t>Description</t>
        </is>
      </c>
    </row>
    <row r="2" ht="66" customHeight="1">
      <c r="A2" s="18" t="inlineStr">
        <is>
          <t>CO001</t>
        </is>
      </c>
      <c r="B2" s="18" t="inlineStr">
        <is>
          <t>MACHINE_DAY</t>
        </is>
      </c>
      <c r="C2" s="19" t="n">
        <v>1</v>
      </c>
      <c r="D2" s="19" t="n">
        <v>1</v>
      </c>
      <c r="E2" s="19" t="n">
        <v>1</v>
      </c>
      <c r="F2" s="26" t="inlineStr">
        <is>
          <t>HARD: one product per machine-shift and at most one product change per machine-day. Count the transition from the last produced product, including the previous day. Attribute the change to the new product start day. Idle shifts do not reset product state. An initial setup from an empty machine consumes preparation time but is not a changeover.</t>
        </is>
      </c>
    </row>
  </sheetData>
  <dataValidations count="4">
    <dataValidation sqref="B2:B1001" showDropDown="0" showInputMessage="0" showErrorMessage="1" allowBlank="0" errorTitle="Invalid input" error="Choose a value from the list." type="list">
      <formula1>"MACHINE_DAY"</formula1>
    </dataValidation>
    <dataValidation sqref="C2:C1001" showDropDown="0" showInputMessage="0" showErrorMessage="1" allowBlank="0" errorTitle="Invalid numeric input" error="Enter a valid nonnegative number or a value within the allowed limits." type="whole" operator="greaterThanOrEqual">
      <formula1>1</formula1>
    </dataValidation>
    <dataValidation sqref="D2:D1001" showDropDown="0" showInputMessage="0" showErrorMessage="1" allowBlank="0" errorTitle="Invalid numeric input" error="Enter a valid nonnegative number or a value within the allowed limits." type="whole" operator="greaterThanOrEqual">
      <formula1>0</formula1>
    </dataValidation>
    <dataValidation sqref="E2:E1001" showDropDown="0" showInputMessage="0" showErrorMessage="1" allowBlank="0" errorTitle="Invalid input" error="Choose a value from the list." type="list">
      <formula1>"1"</formula1>
    </dataValidation>
  </dataValidations>
  <printOptions horizontalCentered="0"/>
  <pageMargins left="0.75" right="0.75" top="1" bottom="1" header="0.5" footer="0.5"/>
  <pageSetup orientation="landscape" paperSize="9" fitToHeight="0" fitToWidth="1"/>
  <headerFooter>
    <oddHeader/>
    <oddFooter>&amp;CProduction planning input | v6&amp;RPage &amp;P / &amp;N</oddFooter>
    <evenHeader/>
    <evenFooter/>
    <firstHeader/>
    <firstFooter/>
  </headerFooter>
</worksheet>
</file>

<file path=xl/worksheets/sheet8.xml><?xml version="1.0" encoding="utf-8"?>
<worksheet xmlns="http://schemas.openxmlformats.org/spreadsheetml/2006/main">
  <sheetPr>
    <outlinePr summaryBelow="1" summaryRight="1"/>
    <pageSetUpPr fitToPage="1"/>
  </sheetPr>
  <dimension ref="A1:H3"/>
  <sheetViews>
    <sheetView showGridLines="0" topLeftCell="A1" zoomScale="80" zoomScaleNormal="100" workbookViewId="0">
      <selection pane="bottomLeft" activeCell="A1" sqref="A1"/>
    </sheetView>
  </sheetViews>
  <sheetFormatPr baseColWidth="8" defaultRowHeight="14.5"/>
  <cols>
    <col width="13" customWidth="1" min="1" max="1"/>
    <col width="19" customWidth="1" min="2" max="2"/>
    <col width="24" customWidth="1" min="3" max="3"/>
    <col width="25" customWidth="1" min="4" max="4"/>
    <col width="28" customWidth="1" min="5" max="5"/>
    <col width="10" customWidth="1" min="6" max="6"/>
    <col width="51" customWidth="1" min="7" max="7"/>
    <col width="36" customWidth="1" min="8" max="8"/>
  </cols>
  <sheetData>
    <row r="1" ht="29" customHeight="1">
      <c r="A1" s="17" t="inlineStr">
        <is>
          <t>Rule_ID</t>
        </is>
      </c>
      <c r="B1" s="17" t="inlineStr">
        <is>
          <t>Scope</t>
        </is>
      </c>
      <c r="C1" s="17" t="inlineStr">
        <is>
          <t>Prefer_Single_Machine</t>
        </is>
      </c>
      <c r="D1" s="17" t="inlineStr">
        <is>
          <t>Preferred_Max_Machines</t>
        </is>
      </c>
      <c r="E1" s="17" t="inlineStr">
        <is>
          <t>Allow_Split_If_Required</t>
        </is>
      </c>
      <c r="F1" s="17" t="inlineStr">
        <is>
          <t>Hard</t>
        </is>
      </c>
      <c r="G1" s="17" t="inlineStr">
        <is>
          <t>Description</t>
        </is>
      </c>
      <c r="H1" s="17" t="inlineStr">
        <is>
          <t>Objective_ID</t>
        </is>
      </c>
    </row>
    <row r="2" ht="51" customHeight="1">
      <c r="A2" s="25" t="inlineStr">
        <is>
          <t>AL001</t>
        </is>
      </c>
      <c r="B2" s="25" t="inlineStr">
        <is>
          <t>ALL_PRODUCTS</t>
        </is>
      </c>
      <c r="C2" s="24" t="n">
        <v>1</v>
      </c>
      <c r="D2" s="24" t="n">
        <v>1</v>
      </c>
      <c r="E2" s="24" t="n">
        <v>1</v>
      </c>
      <c r="F2" s="24" t="n">
        <v>0</v>
      </c>
      <c r="G2" s="27" t="inlineStr">
        <is>
          <t>Soft tie-break only: not a hard constraint and never overrides transition count, tonnage, or preparation.</t>
        </is>
      </c>
      <c r="H2" s="25" t="inlineStr">
        <is>
          <t>MIN_PRODUCT_MACHINE_SPLITS</t>
        </is>
      </c>
    </row>
    <row r="3" ht="36" customHeight="1">
      <c r="A3" s="25" t="inlineStr">
        <is>
          <t>AL003</t>
        </is>
      </c>
      <c r="B3" s="25" t="inlineStr">
        <is>
          <t>ALL_FAMILIES</t>
        </is>
      </c>
      <c r="C3" s="24" t="n">
        <v>1</v>
      </c>
      <c r="D3" s="24" t="n">
        <v>1</v>
      </c>
      <c r="E3" s="24" t="n">
        <v>1</v>
      </c>
      <c r="F3" s="24" t="n">
        <v>0</v>
      </c>
      <c r="G3" s="27" t="inlineStr">
        <is>
          <t>Soft tie-break only: evaluated after transition count, tonnage, preparation and product split.</t>
        </is>
      </c>
      <c r="H3" s="25" t="inlineStr">
        <is>
          <t>MIN_FAMILY_MACHINE_SPLITS</t>
        </is>
      </c>
    </row>
  </sheetData>
  <dataValidations count="4">
    <dataValidation sqref="B2:B1001" showDropDown="0" showInputMessage="0" showErrorMessage="1" allowBlank="0" errorTitle="Invalid input" error="Choose a value from the list." type="list">
      <formula1>"ALL_PRODUCTS,ALL_FAMILIES"</formula1>
    </dataValidation>
    <dataValidation sqref="C2:C1001 E2:F1001" showDropDown="0" showInputMessage="0" showErrorMessage="1" allowBlank="0" errorTitle="Invalid input" error="Choose a value from the list." type="list">
      <formula1>"0,1"</formula1>
    </dataValidation>
    <dataValidation sqref="D2:D1001" showDropDown="0" showInputMessage="0" showErrorMessage="1" allowBlank="0" errorTitle="Invalid numeric input" error="Enter a valid nonnegative number or a value within the allowed limits." type="whole" operator="greaterThanOrEqual">
      <formula1>1</formula1>
    </dataValidation>
    <dataValidation sqref="H2:H1001" showDropDown="0" showInputMessage="0" showErrorMessage="1" allowBlank="0" errorTitle="Invalid input" error="Choose a value from the list." type="list">
      <formula1>Objective_IDs</formula1>
    </dataValidation>
  </dataValidations>
  <printOptions horizontalCentered="0"/>
  <pageMargins left="0.75" right="0.75" top="1" bottom="1" header="0.5" footer="0.5"/>
  <pageSetup orientation="landscape" paperSize="9" fitToHeight="0" fitToWidth="1"/>
  <headerFooter>
    <oddHeader/>
    <oddFooter>&amp;CProduction planning input | v6&amp;RPage &amp;P / &amp;N</oddFooter>
    <evenHeader/>
    <evenFooter/>
    <firstHeader/>
    <firstFooter/>
  </headerFooter>
</worksheet>
</file>

<file path=xl/worksheets/sheet9.xml><?xml version="1.0" encoding="utf-8"?>
<worksheet xmlns="http://schemas.openxmlformats.org/spreadsheetml/2006/main">
  <sheetPr>
    <outlinePr summaryBelow="1" summaryRight="1"/>
    <pageSetUpPr fitToPage="1"/>
  </sheetPr>
  <dimension ref="A1:D6"/>
  <sheetViews>
    <sheetView showGridLines="0" topLeftCell="A1" zoomScale="90" zoomScaleNormal="100" workbookViewId="0">
      <selection pane="bottomLeft" activeCell="A1" sqref="A1"/>
    </sheetView>
  </sheetViews>
  <sheetFormatPr baseColWidth="8" defaultRowHeight="14.5"/>
  <cols>
    <col width="14" customWidth="1" min="1" max="1"/>
    <col width="24" customWidth="1" min="2" max="2"/>
    <col width="20" customWidth="1" min="3" max="4"/>
    <col width="21" customWidth="1" min="4" max="4"/>
  </cols>
  <sheetData>
    <row r="1" ht="29" customHeight="1">
      <c r="A1" s="17" t="inlineStr">
        <is>
          <t>Machine_ID</t>
        </is>
      </c>
      <c r="B1" s="17" t="inlineStr">
        <is>
          <t>Current_Product_ID</t>
        </is>
      </c>
      <c r="C1" s="17" t="inlineStr">
        <is>
          <t>Run_Produced_t</t>
        </is>
      </c>
      <c r="D1" s="17" t="inlineStr">
        <is>
          <t>Setup_Completed</t>
        </is>
      </c>
    </row>
    <row r="2" ht="23" customHeight="1">
      <c r="A2" s="18" t="inlineStr">
        <is>
          <t>M001</t>
        </is>
      </c>
      <c r="B2" s="18" t="n"/>
      <c r="C2" s="19" t="n">
        <v>0</v>
      </c>
      <c r="D2" s="19" t="n">
        <v>0</v>
      </c>
    </row>
    <row r="3" ht="23" customHeight="1">
      <c r="A3" s="18" t="inlineStr">
        <is>
          <t>M002</t>
        </is>
      </c>
      <c r="B3" s="18" t="n"/>
      <c r="C3" s="19" t="n">
        <v>0</v>
      </c>
      <c r="D3" s="19" t="n">
        <v>0</v>
      </c>
    </row>
    <row r="4" ht="23" customHeight="1">
      <c r="A4" s="18" t="inlineStr">
        <is>
          <t>M003</t>
        </is>
      </c>
      <c r="B4" s="18" t="n"/>
      <c r="C4" s="19" t="n">
        <v>0</v>
      </c>
      <c r="D4" s="19" t="n">
        <v>0</v>
      </c>
    </row>
    <row r="5" ht="23" customHeight="1">
      <c r="A5" s="18" t="inlineStr">
        <is>
          <t>M004</t>
        </is>
      </c>
      <c r="B5" s="18" t="n"/>
      <c r="C5" s="19" t="n">
        <v>0</v>
      </c>
      <c r="D5" s="19" t="n">
        <v>0</v>
      </c>
    </row>
    <row r="6" ht="23" customHeight="1">
      <c r="A6" s="18" t="inlineStr">
        <is>
          <t>M005</t>
        </is>
      </c>
      <c r="B6" s="18" t="n"/>
      <c r="C6" s="19" t="n">
        <v>0</v>
      </c>
      <c r="D6" s="19" t="n">
        <v>0</v>
      </c>
    </row>
  </sheetData>
  <dataValidations count="4">
    <dataValidation sqref="A2:A1001" showDropDown="0" showInputMessage="0" showErrorMessage="1" allowBlank="0" errorTitle="Invalid input" error="Choose a value from the list." type="list">
      <formula1>Machine_IDs</formula1>
    </dataValidation>
    <dataValidation sqref="B2:B1001" showDropDown="0" showInputMessage="0" showErrorMessage="1" allowBlank="1" errorTitle="Invalid input" error="Choose a value from the list." type="list">
      <formula1>Product_IDs</formula1>
    </dataValidation>
    <dataValidation sqref="C2:C1001" showDropDown="0" showInputMessage="0" showErrorMessage="1" allowBlank="0" errorTitle="Invalid numeric input" error="Enter a valid nonnegative number or a value within the allowed limits." type="decimal" operator="greaterThanOrEqual">
      <formula1>0</formula1>
    </dataValidation>
    <dataValidation sqref="D2:D1001" showDropDown="0" showInputMessage="0" showErrorMessage="1" allowBlank="0" errorTitle="Invalid input" error="Choose a value from the list." type="list">
      <formula1>"0,1"</formula1>
    </dataValidation>
  </dataValidations>
  <printOptions horizontalCentered="0"/>
  <pageMargins left="0.75" right="0.75" top="1" bottom="1" header="0.5" footer="0.5"/>
  <pageSetup orientation="landscape" paperSize="9" fitToHeight="0" fitToWidth="1"/>
  <headerFooter>
    <oddHeader/>
    <oddFooter>&amp;CProduction planning input | v6&amp;RPage &amp;P / &amp;N</oddFooter>
    <evenHeader/>
    <evenFooter/>
    <firstHeader/>
    <firstFooter/>
  </headerFooter>
</worksheet>
</file>

<file path=xl/worksheets/sheet10.xml><?xml version="1.0" encoding="utf-8"?>
<worksheet xmlns="http://schemas.openxmlformats.org/spreadsheetml/2006/main">
  <sheetPr>
    <outlinePr summaryBelow="1" summaryRight="1"/>
    <pageSetUpPr fitToPage="1"/>
  </sheetPr>
  <dimension ref="A1:E8"/>
  <sheetViews>
    <sheetView showGridLines="0" topLeftCell="A1" zoomScale="80" zoomScaleNormal="100" workbookViewId="0">
      <selection pane="topRight" activeCell="A1" sqref="A1"/>
      <selection pane="bottomLeft" activeCell="A1" sqref="A1"/>
      <selection pane="bottomRight" activeCell="A1" sqref="A1"/>
    </sheetView>
  </sheetViews>
  <sheetFormatPr baseColWidth="8" defaultRowHeight="14.5"/>
  <cols>
    <col width="11" customWidth="1" min="1" max="1"/>
    <col width="38" customWidth="1" min="2" max="2"/>
    <col width="13" customWidth="1" min="3" max="3"/>
    <col width="12" customWidth="1" min="4" max="4"/>
    <col width="66" customWidth="1" min="5" max="5"/>
  </cols>
  <sheetData>
    <row r="1" ht="29" customHeight="1">
      <c r="A1" s="17" t="inlineStr">
        <is>
          <t>Priority</t>
        </is>
      </c>
      <c r="B1" s="17" t="inlineStr">
        <is>
          <t>Objective_ID</t>
        </is>
      </c>
      <c r="C1" s="17" t="inlineStr">
        <is>
          <t>Direction</t>
        </is>
      </c>
      <c r="D1" s="17" t="inlineStr">
        <is>
          <t>Enabled</t>
        </is>
      </c>
      <c r="E1" s="17" t="inlineStr">
        <is>
          <t>Description</t>
        </is>
      </c>
    </row>
    <row r="2" ht="36" customHeight="1">
      <c r="A2" s="21" t="n">
        <v>1</v>
      </c>
      <c r="B2" s="28" t="inlineStr">
        <is>
          <t>MIN_CHANGEOVERS</t>
        </is>
      </c>
      <c r="C2" s="18" t="inlineStr">
        <is>
          <t>MIN</t>
        </is>
      </c>
      <c r="D2" s="19" t="n">
        <v>1</v>
      </c>
      <c r="E2" s="26" t="inlineStr">
        <is>
          <t>FIRST: minimize machine product changes (40 min each). Each product must meet its own MinRequired_pct; no global minimum.</t>
        </is>
      </c>
    </row>
    <row r="3" ht="36" customHeight="1">
      <c r="A3" s="21" t="n">
        <v>2</v>
      </c>
      <c r="B3" s="28" t="inlineStr">
        <is>
          <t>MIN_UNMET</t>
        </is>
      </c>
      <c r="C3" s="18" t="inlineStr">
        <is>
          <t>MIN</t>
        </is>
      </c>
      <c r="D3" s="19" t="n">
        <v>1</v>
      </c>
      <c r="E3" s="26" t="inlineStr">
        <is>
          <t>SECOND: maximize total target fulfillment after the lowest practical changeover count is achieved.</t>
        </is>
      </c>
    </row>
    <row r="4" ht="36" customHeight="1">
      <c r="A4" s="21" t="n">
        <v>3</v>
      </c>
      <c r="B4" s="28" t="inlineStr">
        <is>
          <t>MIN_TOTAL_PREPARATION</t>
        </is>
      </c>
      <c r="C4" s="18" t="inlineStr">
        <is>
          <t>MIN</t>
        </is>
      </c>
      <c r="D4" s="19" t="n">
        <v>1</v>
      </c>
      <c r="E4" s="26" t="inlineStr">
        <is>
          <t>THIRD: minimize all setups including first production on each machine; transition prep is already charged.</t>
        </is>
      </c>
    </row>
    <row r="5" ht="36" customHeight="1">
      <c r="A5" s="21" t="n">
        <v>4</v>
      </c>
      <c r="B5" s="28" t="inlineStr">
        <is>
          <t>MIN_PRODUCT_MACHINE_SPLITS</t>
        </is>
      </c>
      <c r="C5" s="18" t="inlineStr">
        <is>
          <t>MIN</t>
        </is>
      </c>
      <c r="D5" s="19" t="n">
        <v>1</v>
      </c>
      <c r="E5" s="26" t="inlineStr">
        <is>
          <t>SOFT: prefer fewer machines per product only after changeover / output / setups.</t>
        </is>
      </c>
    </row>
    <row r="6" ht="23" customHeight="1">
      <c r="A6" s="21" t="n">
        <v>5</v>
      </c>
      <c r="B6" s="28" t="inlineStr">
        <is>
          <t>MIN_FAMILY_MACHINE_SPLITS</t>
        </is>
      </c>
      <c r="C6" s="18" t="inlineStr">
        <is>
          <t>MIN</t>
        </is>
      </c>
      <c r="D6" s="19" t="n">
        <v>1</v>
      </c>
      <c r="E6" s="18" t="inlineStr">
        <is>
          <t>SOFT: group product families when priorities above tie.</t>
        </is>
      </c>
    </row>
    <row r="7" ht="36" customHeight="1">
      <c r="A7" s="21" t="n">
        <v>6</v>
      </c>
      <c r="B7" s="28" t="inlineStr">
        <is>
          <t>MIN_MACHINE_PRIORITY_COST</t>
        </is>
      </c>
      <c r="C7" s="18" t="inlineStr">
        <is>
          <t>MIN</t>
        </is>
      </c>
      <c r="D7" s="19" t="n">
        <v>1</v>
      </c>
      <c r="E7" s="26" t="inlineStr">
        <is>
          <t>Final tie-break preference for machine-product assignments.</t>
        </is>
      </c>
    </row>
    <row r="8" ht="23" customHeight="1">
      <c r="A8" s="18" t="n"/>
      <c r="B8" s="18" t="n"/>
      <c r="C8" s="18" t="n"/>
      <c r="D8" s="18" t="n"/>
      <c r="E8" s="18" t="n"/>
    </row>
  </sheetData>
  <dataValidations count="3">
    <dataValidation sqref="A2:A1001" showDropDown="0" showInputMessage="0" showErrorMessage="1" allowBlank="0" errorTitle="Invalid numeric input" error="Enter a valid nonnegative number or a value within the allowed limits." type="whole" operator="greaterThanOrEqual">
      <formula1>1</formula1>
    </dataValidation>
    <dataValidation sqref="C2:C1001" showDropDown="0" showInputMessage="0" showErrorMessage="1" allowBlank="0" errorTitle="Invalid input" error="Choose a value from the list." type="list">
      <formula1>"MIN"</formula1>
    </dataValidation>
    <dataValidation sqref="D2:D1001" showDropDown="0" showInputMessage="0" showErrorMessage="1" allowBlank="0" errorTitle="Invalid input" error="Choose a value from the list." type="list">
      <formula1>"0,1"</formula1>
    </dataValidation>
  </dataValidations>
  <printOptions horizontalCentered="0"/>
  <pageMargins left="0.75" right="0.75" top="1" bottom="1" header="0.5" footer="0.5"/>
  <pageSetup orientation="landscape" paperSize="9" fitToHeight="0" fitToWidth="1"/>
  <headerFooter>
    <oddHeader/>
    <oddFooter>&amp;CProduction planning input | v6&amp;RPage &amp;P / &amp;N</oddFooter>
    <evenHeader/>
    <evenFooter/>
    <firstHeader/>
    <firstFooter/>
  </headerFooter>
</worksheet>
</file>

<file path=xl/worksheets/sheet11.xml><?xml version="1.0" encoding="utf-8"?>
<worksheet xmlns="http://schemas.openxmlformats.org/spreadsheetml/2006/main">
  <sheetPr>
    <outlinePr summaryBelow="1" summaryRight="1"/>
    <pageSetUpPr fitToPage="1"/>
  </sheetPr>
  <dimension ref="A1:C29"/>
  <sheetViews>
    <sheetView showGridLines="0" topLeftCell="A1" zoomScale="80" zoomScaleNormal="100" workbookViewId="0">
      <selection pane="topRight" activeCell="A1" sqref="A1"/>
      <selection pane="bottomLeft" activeCell="A1" sqref="A1"/>
      <selection pane="bottomRight" activeCell="A1" sqref="A1"/>
    </sheetView>
  </sheetViews>
  <sheetFormatPr baseColWidth="8" defaultRowHeight="14.5"/>
  <cols>
    <col width="43" customWidth="1" min="1" max="1"/>
    <col width="28" customWidth="1" min="2" max="2"/>
    <col width="68" customWidth="1" min="3" max="3"/>
  </cols>
  <sheetData>
    <row r="1" ht="29" customHeight="1">
      <c r="A1" s="17" t="inlineStr">
        <is>
          <t>Parameter</t>
        </is>
      </c>
      <c r="B1" s="17" t="inlineStr">
        <is>
          <t>Value</t>
        </is>
      </c>
      <c r="C1" s="17" t="inlineStr">
        <is>
          <t>Description</t>
        </is>
      </c>
    </row>
    <row r="2" ht="51" customHeight="1">
      <c r="A2" s="18" t="inlineStr">
        <is>
          <t>SchemaVersion</t>
        </is>
      </c>
      <c r="B2" s="18" t="inlineStr">
        <is>
          <t>6.0</t>
        </is>
      </c>
      <c r="C2" s="26" t="inlineStr">
        <is>
          <t>Input schema v6. Requires a parser/optimizer that supports these fields; an unknown field or unsupported objective must raise an error, not be ignored.</t>
        </is>
      </c>
    </row>
    <row r="3" ht="51" customHeight="1">
      <c r="A3" s="18" t="inlineStr">
        <is>
          <t>ShiftHours</t>
        </is>
      </c>
      <c r="B3" s="19" t="n">
        <v>4</v>
      </c>
      <c r="C3" s="26" t="inlineStr">
        <is>
          <t>Standard shift length in hours. calendar.Hours is authoritative for each machine/day/shift; this is a default when generating calendar rows.</t>
        </is>
      </c>
    </row>
    <row r="4" ht="51" customHeight="1">
      <c r="A4" s="18" t="inlineStr">
        <is>
          <t>DefaultPreparationMin</t>
        </is>
      </c>
      <c r="B4" s="21" t="n">
        <v>40</v>
      </c>
      <c r="C4" s="26" t="inlineStr">
        <is>
          <t>If machine_product.Preparation_min is blank, use 40 minutes. Initial setup and each product change consume preparation; same-product continuation consumes zero.</t>
        </is>
      </c>
    </row>
    <row r="5" ht="36" customHeight="1">
      <c r="A5" s="18" t="inlineStr">
        <is>
          <t>MaxPlanningDays</t>
        </is>
      </c>
      <c r="B5" s="19" t="n">
        <v>6</v>
      </c>
      <c r="C5" s="26" t="inlineStr">
        <is>
          <t>Calendar planning horizon in days. Day-n labels are sorted by numeric n, not lexically.</t>
        </is>
      </c>
    </row>
    <row r="6" ht="51" customHeight="1">
      <c r="A6" s="18" t="inlineStr">
        <is>
          <t>AllowFinalRunBelowMinimum</t>
        </is>
      </c>
      <c r="B6" s="19" t="n">
        <v>1</v>
      </c>
      <c r="C6" s="26" t="inlineStr">
        <is>
          <t>Allow a below-minimum final run only when remaining target is below MinRun_t and that run completes the remaining target. Lack of capacity alone is not an exception.</t>
        </is>
      </c>
    </row>
    <row r="7" ht="36" customHeight="1">
      <c r="A7" s="18" t="inlineStr">
        <is>
          <t>AllowSurplusProduction</t>
        </is>
      </c>
      <c r="B7" s="19" t="n">
        <v>0</v>
      </c>
      <c r="C7" s="26" t="inlineStr">
        <is>
          <t>0 = no product may be scheduled above its target. The surplus objective has no effect while this hard prohibition is active.</t>
        </is>
      </c>
    </row>
    <row r="8" ht="51" customHeight="1">
      <c r="A8" s="18" t="inlineStr">
        <is>
          <t>PreventProductReturn</t>
        </is>
      </c>
      <c r="B8" s="19" t="n">
        <v>1</v>
      </c>
      <c r="C8" s="26" t="inlineStr">
        <is>
          <t>HARD: forbid A-B-A on the same machine throughout the horizon. Ignore idle shifts when checking the product sequence; do not reset on calendar closure.</t>
        </is>
      </c>
    </row>
    <row r="9" ht="51" customHeight="1">
      <c r="A9" s="18" t="inlineStr">
        <is>
          <t>PreferContinuousProduction</t>
        </is>
      </c>
      <c r="B9" s="19" t="n">
        <v>1</v>
      </c>
      <c r="C9" s="26" t="inlineStr">
        <is>
          <t>Prefer consecutive continuation of the same production run. A soft construction/tie-break preference; never override objectives or hard limits.</t>
        </is>
      </c>
    </row>
    <row r="10" ht="51" customHeight="1">
      <c r="A10" s="18" t="inlineStr">
        <is>
          <t>CriticalProductFirst</t>
        </is>
      </c>
      <c r="B10" s="19" t="n">
        <v>1</v>
      </c>
      <c r="C10" s="26" t="inlineStr">
        <is>
          <t>Constructive heuristic preference: schedule products with fewer eligible machines first. This is a search heuristic, not an extra objective priority.</t>
        </is>
      </c>
    </row>
    <row r="11" ht="36" customHeight="1">
      <c r="A11" s="18" t="inlineStr">
        <is>
          <t>ObjectiveMode</t>
        </is>
      </c>
      <c r="B11" s="28" t="inlineStr">
        <is>
          <t>LEXICOGRAPHIC_CHANGEOVER_FIRST</t>
        </is>
      </c>
      <c r="C11" s="26" t="inlineStr">
        <is>
          <t>First minimize product changeovers while satisfying each product MinRequired_pct, then maximize total production; no total production floor.</t>
        </is>
      </c>
    </row>
    <row r="12" ht="36" customHeight="1">
      <c r="A12" s="18" t="inlineStr">
        <is>
          <t>UnmetTolerance_t</t>
        </is>
      </c>
      <c r="B12" s="21" t="n">
        <v>0</v>
      </c>
      <c r="C12" s="26" t="inlineStr">
        <is>
          <t>Legacy dashboard KPI only; there is no global minimum production or frozen total unmet limit in the changeover-first model.</t>
        </is>
      </c>
    </row>
    <row r="13" ht="36" customHeight="1">
      <c r="A13" s="18" t="inlineStr">
        <is>
          <t>UnmetToleranceScope</t>
        </is>
      </c>
      <c r="B13" s="18" t="inlineStr">
        <is>
          <t>TOTAL_PLAN</t>
        </is>
      </c>
      <c r="C13" s="26" t="inlineStr">
        <is>
          <t>Legacy parameter retained for input compatibility; individual product minimums are enforced by MinRequired_pct.</t>
        </is>
      </c>
    </row>
    <row r="14" ht="66" customHeight="1">
      <c r="A14" s="18" t="inlineStr">
        <is>
          <t>UnmetReferenceMode</t>
        </is>
      </c>
      <c r="B14" s="18" t="inlineStr">
        <is>
          <t>BEST_FOUND_BASELINE</t>
        </is>
      </c>
      <c r="C14" s="26" t="inlineStr">
        <is>
          <t>Legacy parameter retained for input compatibility; no frozen global production threshold is imposed.</t>
        </is>
      </c>
    </row>
    <row r="15" ht="51" customHeight="1">
      <c r="A15" s="18" t="inlineStr">
        <is>
          <t>CountCrossDayChangeovers</t>
        </is>
      </c>
      <c r="B15" s="19" t="n">
        <v>1</v>
      </c>
      <c r="C15" s="26" t="inlineStr">
        <is>
          <t>Include the transition from the previous day or the last non-idle product. Daily numeric limits are defined ONLY in changeover_rules.</t>
        </is>
      </c>
    </row>
    <row r="16" ht="36" customHeight="1">
      <c r="A16" s="18" t="inlineStr">
        <is>
          <t>ChangeoverAttribution</t>
        </is>
      </c>
      <c r="B16" s="18" t="inlineStr">
        <is>
          <t>NEW_PRODUCT_START_DAY</t>
        </is>
      </c>
      <c r="C16" s="26" t="inlineStr">
        <is>
          <t>Charge a product transition to the day on which the new product starts, not to the day on which the old product ended.</t>
        </is>
      </c>
    </row>
    <row r="17" ht="51" customHeight="1">
      <c r="A17" s="18" t="inlineStr">
        <is>
          <t>CountInitialSetupAsChangeover</t>
        </is>
      </c>
      <c r="B17" s="19" t="n">
        <v>0</v>
      </c>
      <c r="C17" s="26" t="inlineStr">
        <is>
          <t>Empty initial machine -&gt; first product is a setup, not a changeover. A known initial product -&gt; a different product IS a changeover. Both may consume preparation time.</t>
        </is>
      </c>
    </row>
    <row r="18" ht="51" customHeight="1">
      <c r="A18" s="18" t="inlineStr">
        <is>
          <t>IdleResetsProductState</t>
        </is>
      </c>
      <c r="B18" s="19" t="n">
        <v>0</v>
      </c>
      <c r="C18" s="26" t="inlineStr">
        <is>
          <t>Idle, closed or general-cleaning shifts do not erase the last-product state or the no-return history. No implicit cleaning-reset rule is assumed.</t>
        </is>
      </c>
    </row>
    <row r="19" ht="51" customHeight="1">
      <c r="A19" s="18" t="inlineStr">
        <is>
          <t>SequenceRuleSource</t>
        </is>
      </c>
      <c r="B19" s="28" t="inlineStr">
        <is>
          <t>sequence_rules</t>
        </is>
      </c>
      <c r="C19" s="26" t="inlineStr">
        <is>
          <t>Same-machine precedence applies only to eligible shared machines; no useless ordering pair required when the products have no shared eligible machine.</t>
        </is>
      </c>
    </row>
    <row r="20" ht="36" customHeight="1">
      <c r="A20" s="18" t="inlineStr">
        <is>
          <t>SequenceConflictPolicy</t>
        </is>
      </c>
      <c r="B20" s="18" t="inlineStr">
        <is>
          <t>ERROR</t>
        </is>
      </c>
      <c r="C20" s="26" t="inlineStr">
        <is>
          <t>Reject cycles, contradictory pairs and same-family Sequence_Order inconsistencies. Do not silently choose one conflicting source.</t>
        </is>
      </c>
    </row>
    <row r="21" ht="36" customHeight="1">
      <c r="A21" s="18" t="inlineStr">
        <is>
          <t>OptimizationMode</t>
        </is>
      </c>
      <c r="B21" s="18" t="inlineStr">
        <is>
          <t>HYBRID</t>
        </is>
      </c>
      <c r="C21" s="26" t="inlineStr">
        <is>
          <t>Hybrid: unique constructive heuristic schedules, transition-first MILP, then fixed-assignment re-sequencing.</t>
        </is>
      </c>
    </row>
    <row r="22" ht="36" customHeight="1">
      <c r="A22" s="18" t="inlineStr">
        <is>
          <t>HeuristicTrials</t>
        </is>
      </c>
      <c r="B22" s="21" t="n">
        <v>600000</v>
      </c>
      <c r="C22" s="26" t="inlineStr">
        <is>
          <t>Number of unique heuristic plans; repeated assignment + 0.01 t rounded quantity signatures are skipped and resampled.</t>
        </is>
      </c>
    </row>
    <row r="23" ht="36" customHeight="1">
      <c r="A23" s="18" t="inlineStr">
        <is>
          <t>MILPPolishTimeSec</t>
        </is>
      </c>
      <c r="B23" s="21" t="n">
        <v>90</v>
      </c>
      <c r="C23" s="26" t="inlineStr">
        <is>
          <t>MILP-1 time budget: minimize transitions subject to all product MinRequired_pct requirements, then maximize tons at fixed minimum transitions.</t>
        </is>
      </c>
    </row>
    <row r="24" ht="51" customHeight="1">
      <c r="A24" s="18" t="inlineStr">
        <is>
          <t>MILPNeighborhoodMode</t>
        </is>
      </c>
      <c r="B24" s="18" t="inlineStr">
        <is>
          <t>REALLOCATION_AND_RESEQUENCING</t>
        </is>
      </c>
      <c r="C24" s="26" t="inlineStr">
        <is>
          <t>Allow eligible machine-product assignments, product order and quantities to change. Do not freeze the heuristic topology. Keep the best valid candidate under the same comparison policy.</t>
        </is>
      </c>
    </row>
    <row r="25" ht="51" customHeight="1">
      <c r="A25" s="18" t="inlineStr">
        <is>
          <t>RuntimeLogging</t>
        </is>
      </c>
      <c r="B25" s="19" t="n">
        <v>1</v>
      </c>
      <c r="C25" s="26" t="inlineStr">
        <is>
          <t>Log heuristic, MILP model build, MILP solve, validation, Excel I/O and total wall-clock runtime. Also record solver status, bound/gap if available and actual attempts.</t>
        </is>
      </c>
    </row>
    <row r="26" ht="51" customHeight="1">
      <c r="A26" s="18" t="inlineStr">
        <is>
          <t>InputValidation</t>
        </is>
      </c>
      <c r="B26" s="18" t="inlineStr">
        <is>
          <t>STRICT</t>
        </is>
      </c>
      <c r="C26" s="26" t="inlineStr">
        <is>
          <t>Reject duplicate keys, invalid references, missing required values, invalid numbers, calendar conflicts and inconsistent rule sources before optimization.</t>
        </is>
      </c>
    </row>
    <row r="27" ht="51" customHeight="1">
      <c r="A27" s="18" t="inlineStr">
        <is>
          <t>UnknownParameterPolicy</t>
        </is>
      </c>
      <c r="B27" s="18" t="inlineStr">
        <is>
          <t>ERROR</t>
        </is>
      </c>
      <c r="C27" s="26" t="inlineStr">
        <is>
          <t>Reject unsupported parameters, scopes and objective IDs. This workbook defines inputs; it does not itself implement or execute the scheduling algorithm.</t>
        </is>
      </c>
    </row>
    <row r="28" ht="36" customHeight="1">
      <c r="A28" s="18" t="inlineStr">
        <is>
          <t>RandomSeed</t>
        </is>
      </c>
      <c r="B28" s="21" t="n">
        <v>20261008</v>
      </c>
      <c r="C28" s="26" t="inlineStr">
        <is>
          <t>Fixed seed for reproducible comparison; set 0 to draw a new random seed each run.</t>
        </is>
      </c>
    </row>
    <row r="29" ht="36" customHeight="1">
      <c r="A29" s="25" t="inlineStr">
        <is>
          <t>SecondMILPTimeSec</t>
        </is>
      </c>
      <c r="B29" s="21" t="n">
        <v>165</v>
      </c>
      <c r="C29" s="27" t="inlineStr">
        <is>
          <t>MILP-2 time budget: fixed machine-product re-sequencing; may increase tons without worsening transition-first objective.</t>
        </is>
      </c>
    </row>
    <row r="30" ht="66" customHeight="1"/>
  </sheetData>
  <dataValidations count="14">
    <dataValidation sqref="B6:B10 B15 B17:B18 B25" showDropDown="0" showInputMessage="0" showErrorMessage="1" allowBlank="0" errorTitle="Invalid input" error="Choose a value from the list." type="list">
      <formula1>"0,1"</formula1>
    </dataValidation>
    <dataValidation sqref="B4 B12" showDropDown="0" showInputMessage="0" showErrorMessage="1" allowBlank="0" errorTitle="Invalid numeric input" error="Enter a valid nonnegative number or a value within the allowed limits." type="decimal" operator="greaterThanOrEqual">
      <formula1>0</formula1>
    </dataValidation>
    <dataValidation sqref="B5 B22" showDropDown="0" showInputMessage="0" showErrorMessage="1" allowBlank="0" errorTitle="Invalid numeric input" error="Enter a valid nonnegative number or a value within the allowed limits." type="whole" operator="greaterThanOrEqual">
      <formula1>1</formula1>
    </dataValidation>
    <dataValidation sqref="B3 B23" showDropDown="0" showInputMessage="0" showErrorMessage="1" allowBlank="0" errorTitle="Invalid numeric input" error="Enter a valid nonnegative number or a value within the allowed limits." type="decimal" operator="greaterThanOrEqual">
      <formula1>0.001</formula1>
    </dataValidation>
    <dataValidation sqref="B2" showDropDown="0" showInputMessage="0" showErrorMessage="1" allowBlank="0" errorTitle="Invalid input" error="Choose a value from the list." type="list">
      <formula1>"6.0"</formula1>
    </dataValidation>
    <dataValidation sqref="B11" showDropDown="0" showInputMessage="0" showErrorMessage="1" allowBlank="0" errorTitle="Invalid input" error="Choose a value from the list." type="list">
      <formula1>"LEXICOGRAPHIC_WITH_UNMET_TOLERANCE"</formula1>
    </dataValidation>
    <dataValidation sqref="B13" showDropDown="0" showInputMessage="0" showErrorMessage="1" allowBlank="0" errorTitle="Invalid input" error="Choose a value from the list." type="list">
      <formula1>"TOTAL_PLAN"</formula1>
    </dataValidation>
    <dataValidation sqref="B14" showDropDown="0" showInputMessage="0" showErrorMessage="1" allowBlank="0" errorTitle="Invalid input" error="Choose a value from the list." type="list">
      <formula1>"BEST_FOUND_BASELINE"</formula1>
    </dataValidation>
    <dataValidation sqref="B16" showDropDown="0" showInputMessage="0" showErrorMessage="1" allowBlank="0" errorTitle="Invalid input" error="Choose a value from the list." type="list">
      <formula1>"NEW_PRODUCT_START_DAY"</formula1>
    </dataValidation>
    <dataValidation sqref="B19" showDropDown="0" showInputMessage="0" showErrorMessage="1" allowBlank="0" errorTitle="Invalid input" error="Choose a value from the list." type="list">
      <formula1>"sequence_rules"</formula1>
    </dataValidation>
    <dataValidation sqref="B20 B27" showDropDown="0" showInputMessage="0" showErrorMessage="1" allowBlank="0" errorTitle="Invalid input" error="Choose a value from the list." type="list">
      <formula1>"ERROR"</formula1>
    </dataValidation>
    <dataValidation sqref="B21" showDropDown="0" showInputMessage="0" showErrorMessage="1" allowBlank="0" errorTitle="Invalid input" error="Choose a value from the list." type="list">
      <formula1>"HYBRID"</formula1>
    </dataValidation>
    <dataValidation sqref="B24" showDropDown="0" showInputMessage="0" showErrorMessage="1" allowBlank="0" errorTitle="Invalid input" error="Choose a value from the list." type="list">
      <formula1>"REALLOCATION_AND_RESEQUENCING"</formula1>
    </dataValidation>
    <dataValidation sqref="B26" showDropDown="0" showInputMessage="0" showErrorMessage="1" allowBlank="0" errorTitle="Invalid input" error="Choose a value from the list." type="list">
      <formula1>"STRICT"</formula1>
    </dataValidation>
  </dataValidations>
  <printOptions horizontalCentered="0"/>
  <pageMargins left="0.75" right="0.75" top="1" bottom="1" header="0.5" footer="0.5"/>
  <pageSetup orientation="landscape" paperSize="9" fitToHeight="0" fitToWidth="1"/>
  <headerFooter>
    <oddHeader/>
    <oddFooter>&amp;CProduction planning input | v6&amp;RPage &amp;P /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itle xmlns:dc="http://purl.org/dc/elements/1.1/">Production planning input v6 - hybrid, allocation and changeover rules</dc:title>
  <dc:description xmlns:dc="http://purl.org/dc/elements/1.1/">Source: production_planning_input_v5_kabak_sequence.xlsx. Agreed v6 revisions: SOFT target modes, single-source objectives, cross-day changeovers, whole-plan unmet tolerance, explicit Kabak sequence pairs and soft product/family allocation preferences.</dc:description>
  <dc:subject xmlns:dc="http://purl.org/dc/elements/1.1/">Input only; scheduling has not been rerun with this revision.</dc:subject>
  <dcterms:created xmlns:dcterms="http://purl.org/dc/terms/" xmlns:xsi="http://www.w3.org/2001/XMLSchema-instance" xsi:type="dcterms:W3CDTF">2026-09-29T13:22:50Z</dcterms:created>
  <dcterms:modified xmlns:dcterms="http://purl.org/dc/terms/" xmlns:xsi="http://www.w3.org/2001/XMLSchema-instance" xsi:type="dcterms:W3CDTF">2026-10-12T10:43:22Z</dcterms:modified>
  <cp:lastModifiedBy>Hakan Dogan</cp:lastModifiedBy>
</cp:coreProperties>
</file>